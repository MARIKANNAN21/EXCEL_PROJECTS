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64AA08DC-B501-47DB-8AE6-9F5F8F8D6FA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Raw_Data" sheetId="1" r:id="rId1"/>
    <sheet name="Summary_Metrics" sheetId="3" r:id="rId2"/>
    <sheet name="Dashboard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3" l="1"/>
  <c r="E25" i="3"/>
  <c r="E26" i="3"/>
  <c r="E27" i="3"/>
  <c r="D25" i="3"/>
  <c r="D26" i="3"/>
  <c r="D27" i="3"/>
  <c r="D24" i="3"/>
  <c r="C25" i="3"/>
  <c r="C26" i="3"/>
  <c r="C27" i="3"/>
  <c r="C24" i="3"/>
  <c r="D41" i="3"/>
  <c r="D42" i="3"/>
  <c r="D43" i="3"/>
  <c r="D44" i="3"/>
  <c r="D45" i="3"/>
  <c r="D40" i="3"/>
  <c r="E40" i="3" s="1"/>
  <c r="C41" i="3"/>
  <c r="E41" i="3" s="1"/>
  <c r="C42" i="3"/>
  <c r="E42" i="3" s="1"/>
  <c r="C43" i="3"/>
  <c r="E43" i="3" s="1"/>
  <c r="C44" i="3"/>
  <c r="C45" i="3"/>
  <c r="E45" i="3" s="1"/>
  <c r="C40" i="3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2" i="1"/>
  <c r="F18" i="3"/>
  <c r="F19" i="3"/>
  <c r="F20" i="3"/>
  <c r="F17" i="3"/>
  <c r="D18" i="3"/>
  <c r="E18" i="3" s="1"/>
  <c r="D19" i="3"/>
  <c r="E19" i="3" s="1"/>
  <c r="D20" i="3"/>
  <c r="E20" i="3" s="1"/>
  <c r="D17" i="3"/>
  <c r="E17" i="3" s="1"/>
  <c r="C10" i="3"/>
  <c r="F4" i="4" s="1"/>
  <c r="C20" i="3"/>
  <c r="C18" i="3"/>
  <c r="C19" i="3"/>
  <c r="C17" i="3"/>
  <c r="C12" i="3"/>
  <c r="J4" i="4" s="1"/>
  <c r="C11" i="3"/>
  <c r="H4" i="4" s="1"/>
  <c r="C9" i="3"/>
  <c r="D4" i="4" s="1"/>
  <c r="C8" i="3"/>
  <c r="C7" i="3"/>
  <c r="C6" i="3"/>
  <c r="C5" i="3"/>
  <c r="B4" i="4" s="1"/>
  <c r="D32" i="3" l="1"/>
  <c r="D34" i="3"/>
  <c r="D31" i="3"/>
  <c r="D33" i="3"/>
  <c r="D36" i="3"/>
  <c r="D35" i="3"/>
  <c r="E44" i="3"/>
  <c r="C31" i="3"/>
  <c r="C36" i="3"/>
  <c r="C35" i="3"/>
  <c r="C34" i="3"/>
  <c r="C33" i="3"/>
  <c r="C32" i="3"/>
</calcChain>
</file>

<file path=xl/sharedStrings.xml><?xml version="1.0" encoding="utf-8"?>
<sst xmlns="http://schemas.openxmlformats.org/spreadsheetml/2006/main" count="986" uniqueCount="336">
  <si>
    <t>Req_ID</t>
  </si>
  <si>
    <t>Client_Name</t>
  </si>
  <si>
    <t>Industry</t>
  </si>
  <si>
    <t>Role</t>
  </si>
  <si>
    <t>Seniority_Level</t>
  </si>
  <si>
    <t>Recruiter_Name</t>
  </si>
  <si>
    <t>Region</t>
  </si>
  <si>
    <t>Sourcing_Channel</t>
  </si>
  <si>
    <t>Date_Sourced</t>
  </si>
  <si>
    <t>Date_Submitted</t>
  </si>
  <si>
    <t>Date_Interview</t>
  </si>
  <si>
    <t>Date_Offer</t>
  </si>
  <si>
    <t>Date_Joined</t>
  </si>
  <si>
    <t>Candidate_Name</t>
  </si>
  <si>
    <t>Gender</t>
  </si>
  <si>
    <t>Experience_Yrs</t>
  </si>
  <si>
    <t>Current_CTC_LPA</t>
  </si>
  <si>
    <t>Expected_CTC_LPA</t>
  </si>
  <si>
    <t>Offered_CTC_LPA</t>
  </si>
  <si>
    <t>Location</t>
  </si>
  <si>
    <t>Interview_Status</t>
  </si>
  <si>
    <t>Offer_Status</t>
  </si>
  <si>
    <t>Joining_Status</t>
  </si>
  <si>
    <t>Notice_Period_Days</t>
  </si>
  <si>
    <t>TAT_Days</t>
  </si>
  <si>
    <t>REQ001</t>
  </si>
  <si>
    <t>TCS</t>
  </si>
  <si>
    <t>IT Services</t>
  </si>
  <si>
    <t>Data Analyst</t>
  </si>
  <si>
    <t>Junior</t>
  </si>
  <si>
    <t>Senthil Kumar</t>
  </si>
  <si>
    <t>South</t>
  </si>
  <si>
    <t>LinkedIn</t>
  </si>
  <si>
    <t>2025-01-05</t>
  </si>
  <si>
    <t>2025-01-07</t>
  </si>
  <si>
    <t>2025-01-12</t>
  </si>
  <si>
    <t>2025-01-15</t>
  </si>
  <si>
    <t>2025-01-20</t>
  </si>
  <si>
    <t>Aravind Kumar</t>
  </si>
  <si>
    <t>Male</t>
  </si>
  <si>
    <t>Chennai</t>
  </si>
  <si>
    <t>Selected</t>
  </si>
  <si>
    <t>Accepted</t>
  </si>
  <si>
    <t>Joined</t>
  </si>
  <si>
    <t>REQ002</t>
  </si>
  <si>
    <t>Infosys</t>
  </si>
  <si>
    <t>MIS Analyst</t>
  </si>
  <si>
    <t>Anitha R</t>
  </si>
  <si>
    <t>Naukri</t>
  </si>
  <si>
    <t>2025-01-06</t>
  </si>
  <si>
    <t>2025-01-09</t>
  </si>
  <si>
    <t>2025-01-14</t>
  </si>
  <si>
    <t>Priya Sharma</t>
  </si>
  <si>
    <t>Female</t>
  </si>
  <si>
    <t>Bangalore</t>
  </si>
  <si>
    <t>In-Progress</t>
  </si>
  <si>
    <t>Pending</t>
  </si>
  <si>
    <t>Not Joined</t>
  </si>
  <si>
    <t>REQ003</t>
  </si>
  <si>
    <t>Wipro</t>
  </si>
  <si>
    <t>Business Analyst</t>
  </si>
  <si>
    <t>Mid</t>
  </si>
  <si>
    <t>Referral</t>
  </si>
  <si>
    <t>2025-01-08</t>
  </si>
  <si>
    <t>2025-01-10</t>
  </si>
  <si>
    <t>Ravi Teja</t>
  </si>
  <si>
    <t>Hyderabad</t>
  </si>
  <si>
    <t>Rejected</t>
  </si>
  <si>
    <t>REQ004</t>
  </si>
  <si>
    <t>HCL</t>
  </si>
  <si>
    <t>Data Engineer</t>
  </si>
  <si>
    <t>Senior</t>
  </si>
  <si>
    <t>Ramesh Gupta</t>
  </si>
  <si>
    <t>North</t>
  </si>
  <si>
    <t>2025-01-13</t>
  </si>
  <si>
    <t>2025-01-18</t>
  </si>
  <si>
    <t>2025-01-22</t>
  </si>
  <si>
    <t>2025-01-28</t>
  </si>
  <si>
    <t>Sneha Nair</t>
  </si>
  <si>
    <t>Mumbai</t>
  </si>
  <si>
    <t>REQ005</t>
  </si>
  <si>
    <t>Cognizant</t>
  </si>
  <si>
    <t>Karthik Raj</t>
  </si>
  <si>
    <t>REQ006</t>
  </si>
  <si>
    <t>Accenture</t>
  </si>
  <si>
    <t>Consulting</t>
  </si>
  <si>
    <t>Kavitha M</t>
  </si>
  <si>
    <t>West</t>
  </si>
  <si>
    <t>2025-01-17</t>
  </si>
  <si>
    <t>2025-01-25</t>
  </si>
  <si>
    <t>2025-02-01</t>
  </si>
  <si>
    <t>Divya Menon</t>
  </si>
  <si>
    <t>Pune</t>
  </si>
  <si>
    <t>REQ007</t>
  </si>
  <si>
    <t>Reporting Analyst</t>
  </si>
  <si>
    <t>Walk-In</t>
  </si>
  <si>
    <t>Anbu Selvan</t>
  </si>
  <si>
    <t>Tiruchirappalli</t>
  </si>
  <si>
    <t>REQ008</t>
  </si>
  <si>
    <t>Deloitte</t>
  </si>
  <si>
    <t>Data Scientist</t>
  </si>
  <si>
    <t>Meera Pillai</t>
  </si>
  <si>
    <t>REQ009</t>
  </si>
  <si>
    <t>2025-01-24</t>
  </si>
  <si>
    <t>2025-01-29</t>
  </si>
  <si>
    <t>2025-02-02</t>
  </si>
  <si>
    <t>2025-02-10</t>
  </si>
  <si>
    <t>Suresh Babu</t>
  </si>
  <si>
    <t>Coimbatore</t>
  </si>
  <si>
    <t>REQ010</t>
  </si>
  <si>
    <t>2025-02-03</t>
  </si>
  <si>
    <t>Lakshmi Priya</t>
  </si>
  <si>
    <t>REQ011</t>
  </si>
  <si>
    <t>2025-02-04</t>
  </si>
  <si>
    <t>2025-02-09</t>
  </si>
  <si>
    <t>2025-02-13</t>
  </si>
  <si>
    <t>2025-02-18</t>
  </si>
  <si>
    <t>Vijay Anand</t>
  </si>
  <si>
    <t>REQ012</t>
  </si>
  <si>
    <t>2025-02-06</t>
  </si>
  <si>
    <t>2025-02-11</t>
  </si>
  <si>
    <t>Nithya Devi</t>
  </si>
  <si>
    <t>Madurai</t>
  </si>
  <si>
    <t>REQ013</t>
  </si>
  <si>
    <t>2025-02-05</t>
  </si>
  <si>
    <t>2025-02-08</t>
  </si>
  <si>
    <t>2025-02-17</t>
  </si>
  <si>
    <t>2025-02-24</t>
  </si>
  <si>
    <t>Harish M</t>
  </si>
  <si>
    <t>REQ014</t>
  </si>
  <si>
    <t>2025-02-16</t>
  </si>
  <si>
    <t>Pooja Iyer</t>
  </si>
  <si>
    <t>REQ015</t>
  </si>
  <si>
    <t>2025-02-21</t>
  </si>
  <si>
    <t>2025-02-26</t>
  </si>
  <si>
    <t>Balaji S</t>
  </si>
  <si>
    <t>REQ016</t>
  </si>
  <si>
    <t>2025-02-12</t>
  </si>
  <si>
    <t>2025-02-15</t>
  </si>
  <si>
    <t>2025-02-20</t>
  </si>
  <si>
    <t>2025-03-03</t>
  </si>
  <si>
    <t>Rekha V</t>
  </si>
  <si>
    <t>REQ017</t>
  </si>
  <si>
    <t>2025-02-23</t>
  </si>
  <si>
    <t>Dinesh P</t>
  </si>
  <si>
    <t>REQ018</t>
  </si>
  <si>
    <t>2025-03-02</t>
  </si>
  <si>
    <t>2025-03-10</t>
  </si>
  <si>
    <t>Kavya R</t>
  </si>
  <si>
    <t>REQ019</t>
  </si>
  <si>
    <t>2025-02-28</t>
  </si>
  <si>
    <t>Murugan S</t>
  </si>
  <si>
    <t>REQ020</t>
  </si>
  <si>
    <t>2025-02-22</t>
  </si>
  <si>
    <t>2025-02-25</t>
  </si>
  <si>
    <t>2025-03-06</t>
  </si>
  <si>
    <t>2025-03-14</t>
  </si>
  <si>
    <t>Aishwarya N</t>
  </si>
  <si>
    <t>REQ021</t>
  </si>
  <si>
    <t>2025-03-05</t>
  </si>
  <si>
    <t>Saravanan K</t>
  </si>
  <si>
    <t>REQ022</t>
  </si>
  <si>
    <t>2025-03-08</t>
  </si>
  <si>
    <t>2025-03-13</t>
  </si>
  <si>
    <t>2025-03-17</t>
  </si>
  <si>
    <t>2025-03-24</t>
  </si>
  <si>
    <t>Brindha M</t>
  </si>
  <si>
    <t>REQ023</t>
  </si>
  <si>
    <t>2025-03-11</t>
  </si>
  <si>
    <t>2025-03-16</t>
  </si>
  <si>
    <t>Ganesh T</t>
  </si>
  <si>
    <t>REQ024</t>
  </si>
  <si>
    <t>2025-03-18</t>
  </si>
  <si>
    <t>2025-03-22</t>
  </si>
  <si>
    <t>2025-03-28</t>
  </si>
  <si>
    <t>Swetha L</t>
  </si>
  <si>
    <t>REQ025</t>
  </si>
  <si>
    <t>2025-03-12</t>
  </si>
  <si>
    <t>2025-03-15</t>
  </si>
  <si>
    <t>2025-03-20</t>
  </si>
  <si>
    <t>Praveen J</t>
  </si>
  <si>
    <t>REQ026</t>
  </si>
  <si>
    <t>2025-03-23</t>
  </si>
  <si>
    <t>2025-03-27</t>
  </si>
  <si>
    <t>2025-04-03</t>
  </si>
  <si>
    <t>Deepa S</t>
  </si>
  <si>
    <t>REQ027</t>
  </si>
  <si>
    <t>2025-03-21</t>
  </si>
  <si>
    <t>2025-03-26</t>
  </si>
  <si>
    <t>2025-03-30</t>
  </si>
  <si>
    <t>2025-04-07</t>
  </si>
  <si>
    <t>Arun M</t>
  </si>
  <si>
    <t>REQ028</t>
  </si>
  <si>
    <t>Sujatha K</t>
  </si>
  <si>
    <t>REQ029</t>
  </si>
  <si>
    <t>2025-03-25</t>
  </si>
  <si>
    <t>2025-04-10</t>
  </si>
  <si>
    <t>Rajan T</t>
  </si>
  <si>
    <t>REQ030</t>
  </si>
  <si>
    <t>2025-04-02</t>
  </si>
  <si>
    <t>Nirmala P</t>
  </si>
  <si>
    <t>REQ031</t>
  </si>
  <si>
    <t>2025-04-05</t>
  </si>
  <si>
    <t>2025-04-14</t>
  </si>
  <si>
    <t>2025-04-21</t>
  </si>
  <si>
    <t>Sunil R</t>
  </si>
  <si>
    <t>REQ032</t>
  </si>
  <si>
    <t>2025-04-08</t>
  </si>
  <si>
    <t>2025-04-13</t>
  </si>
  <si>
    <t>2025-04-17</t>
  </si>
  <si>
    <t>2025-04-23</t>
  </si>
  <si>
    <t>Geetha M</t>
  </si>
  <si>
    <t>REQ033</t>
  </si>
  <si>
    <t>2025-04-11</t>
  </si>
  <si>
    <t>2025-04-16</t>
  </si>
  <si>
    <t>Muthu K</t>
  </si>
  <si>
    <t>REQ034</t>
  </si>
  <si>
    <t>2025-04-18</t>
  </si>
  <si>
    <t>2025-04-22</t>
  </si>
  <si>
    <t>2025-04-29</t>
  </si>
  <si>
    <t>Pavithra S</t>
  </si>
  <si>
    <t>REQ035</t>
  </si>
  <si>
    <t>2025-04-12</t>
  </si>
  <si>
    <t>2025-04-15</t>
  </si>
  <si>
    <t>2025-04-20</t>
  </si>
  <si>
    <t>Kiran B</t>
  </si>
  <si>
    <t>REQ036</t>
  </si>
  <si>
    <t>2025-04-27</t>
  </si>
  <si>
    <t>2025-05-04</t>
  </si>
  <si>
    <t>Saranya V</t>
  </si>
  <si>
    <t>REQ037</t>
  </si>
  <si>
    <t>2025-04-26</t>
  </si>
  <si>
    <t>2025-04-30</t>
  </si>
  <si>
    <t>2025-05-07</t>
  </si>
  <si>
    <t>Bharath M</t>
  </si>
  <si>
    <t>REQ038</t>
  </si>
  <si>
    <t>2025-04-28</t>
  </si>
  <si>
    <t>Hema R</t>
  </si>
  <si>
    <t>REQ039</t>
  </si>
  <si>
    <t>2025-04-25</t>
  </si>
  <si>
    <t>2025-05-12</t>
  </si>
  <si>
    <t>Naveen S</t>
  </si>
  <si>
    <t>REQ040</t>
  </si>
  <si>
    <t>2025-05-03</t>
  </si>
  <si>
    <t>Jayanthi P</t>
  </si>
  <si>
    <t>REQ041</t>
  </si>
  <si>
    <t>2025-05-02</t>
  </si>
  <si>
    <t>2025-05-05</t>
  </si>
  <si>
    <t>2025-05-10</t>
  </si>
  <si>
    <t>2025-05-14</t>
  </si>
  <si>
    <t>2025-05-20</t>
  </si>
  <si>
    <t>Ramya K</t>
  </si>
  <si>
    <t>REQ042</t>
  </si>
  <si>
    <t>2025-05-08</t>
  </si>
  <si>
    <t>2025-05-13</t>
  </si>
  <si>
    <t>Sathish V</t>
  </si>
  <si>
    <t>REQ043</t>
  </si>
  <si>
    <t>Senior Analyst</t>
  </si>
  <si>
    <t>2025-05-11</t>
  </si>
  <si>
    <t>2025-05-16</t>
  </si>
  <si>
    <t>2025-05-28</t>
  </si>
  <si>
    <t>Ananya R</t>
  </si>
  <si>
    <t>REQ044</t>
  </si>
  <si>
    <t>2025-05-18</t>
  </si>
  <si>
    <t>2025-05-22</t>
  </si>
  <si>
    <t>2025-05-30</t>
  </si>
  <si>
    <t>Dinesh K</t>
  </si>
  <si>
    <t>REQ045</t>
  </si>
  <si>
    <t>2025-05-15</t>
  </si>
  <si>
    <t>Vijayalakshmi</t>
  </si>
  <si>
    <t>REQ046</t>
  </si>
  <si>
    <t>2025-05-23</t>
  </si>
  <si>
    <t>2025-05-27</t>
  </si>
  <si>
    <t>2025-06-03</t>
  </si>
  <si>
    <t>Praveen R</t>
  </si>
  <si>
    <t>REQ047</t>
  </si>
  <si>
    <t>2025-05-21</t>
  </si>
  <si>
    <t>2025-05-26</t>
  </si>
  <si>
    <t>Kavitha P</t>
  </si>
  <si>
    <t>REQ048</t>
  </si>
  <si>
    <t>2025-06-01</t>
  </si>
  <si>
    <t>2025-06-08</t>
  </si>
  <si>
    <t>Manoj S</t>
  </si>
  <si>
    <t>REQ049</t>
  </si>
  <si>
    <t>2025-05-25</t>
  </si>
  <si>
    <t>Padmini K</t>
  </si>
  <si>
    <t>REQ050</t>
  </si>
  <si>
    <t>2025-06-02</t>
  </si>
  <si>
    <t>2025-06-06</t>
  </si>
  <si>
    <t>2025-06-12</t>
  </si>
  <si>
    <t>Krishnamurthy</t>
  </si>
  <si>
    <t>Total Requisitions</t>
  </si>
  <si>
    <t>Total Joined</t>
  </si>
  <si>
    <t>📌  TOP-LINE KPIs  (BQ1 — Hiring Funnel)</t>
  </si>
  <si>
    <t>KPI</t>
  </si>
  <si>
    <t>Your Answer</t>
  </si>
  <si>
    <t>Total Interviewed</t>
  </si>
  <si>
    <t>Total Selected</t>
  </si>
  <si>
    <t>Offers Accepted</t>
  </si>
  <si>
    <t>Overall Conversion %</t>
  </si>
  <si>
    <t>(format as %)</t>
  </si>
  <si>
    <t>Avg TAT (Joined only)</t>
  </si>
  <si>
    <t>days</t>
  </si>
  <si>
    <t>Avg Offered CTC</t>
  </si>
  <si>
    <t>LPA</t>
  </si>
  <si>
    <t>👥  RECRUITER PERFORMANCE  (BQ2)</t>
  </si>
  <si>
    <t>Recruiter Name</t>
  </si>
  <si>
    <t>Total Reqs</t>
  </si>
  <si>
    <t>Placements (Joined)</t>
  </si>
  <si>
    <t>Conversion %</t>
  </si>
  <si>
    <t>Avg TAT (days)</t>
  </si>
  <si>
    <t>📡  SOURCING CHANNEL ROI  (BQ3)</t>
  </si>
  <si>
    <t>Channel</t>
  </si>
  <si>
    <t>Total Sourced</t>
  </si>
  <si>
    <t>📅  MONTHLY HIRING TREND  (BQ4)</t>
  </si>
  <si>
    <t>Month</t>
  </si>
  <si>
    <t>Jan-2025</t>
  </si>
  <si>
    <t>Feb-2025</t>
  </si>
  <si>
    <t>Mar-2025</t>
  </si>
  <si>
    <t>Apr-2025</t>
  </si>
  <si>
    <t>May-2025</t>
  </si>
  <si>
    <t>Jun-2025</t>
  </si>
  <si>
    <t>💰  CTC GAP ANALYSIS  (BQ5)</t>
  </si>
  <si>
    <t>Avg Expected CTC</t>
  </si>
  <si>
    <t>Gap (Expected - Offered)</t>
  </si>
  <si>
    <t>📊  V-Dart Recruitment MIS Dashboard  |  Jan – Jun 2025</t>
  </si>
  <si>
    <t>Placed</t>
  </si>
  <si>
    <t>Avg TAT (Days)</t>
  </si>
  <si>
    <t>📈 BQ1 — Hiring Funnel Chart
(Bar chart: Total→Interviewed→Selected→Offered→Joined)
Create from Summary_Metrics KPI table</t>
  </si>
  <si>
    <t>👥 BQ2 — Recruiter Performance Chart
(Clustered bar: Recruiter vs Placements vs Conversion%)
Create from Summary_Metrics Recruiter table</t>
  </si>
  <si>
    <t>📡 BQ3 — Channel ROI Chart
(Clustered bar: Channel vs Sourced vs Joined)
Create from Summary_Metrics Channel table</t>
  </si>
  <si>
    <t>📅 BQ4 — Monthly Trend Chart
(Line chart: Month vs Sourced vs Joined)
Create from Summary_Metrics Monthly table</t>
  </si>
  <si>
    <t>💰 BQ5 — CTC Gap Analysis Chart
(Grouped bar: Role vs Avg Expected vs Avg Offered)
Create from Summary_Metrics CTC Gap table
Add conditional formatting: Red if Gap &gt; 1 LPA</t>
  </si>
  <si>
    <t>sourced_month</t>
  </si>
  <si>
    <t>Joined_month</t>
  </si>
  <si>
    <t>📊  Summary Metrics —  Formulas from 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</si>
</sst>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i/>
      <sz val="9"/>
      <color rgb="FF7F7F7F"/>
      <name val="Calibri"/>
      <charset val="1"/>
    </font>
    <font>
      <b/>
      <sz val="20"/>
      <color rgb="FFFFFFFF"/>
      <name val="Calibri"/>
      <charset val="1"/>
    </font>
    <font>
      <i/>
      <sz val="10"/>
      <color rgb="FF595959"/>
      <name val="Calibri"/>
      <charset val="1"/>
    </font>
    <font>
      <sz val="9"/>
      <color rgb="FF000000"/>
      <name val="Calibri"/>
      <family val="2"/>
      <charset val="1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C3557"/>
      </patternFill>
    </fill>
    <fill>
      <patternFill patternType="solid">
        <fgColor rgb="FFFFFFFF"/>
        <bgColor rgb="FFFFFDE7"/>
      </patternFill>
    </fill>
    <fill>
      <patternFill patternType="solid">
        <fgColor rgb="FFEEF4FB"/>
        <bgColor rgb="FFF2F2F2"/>
      </patternFill>
    </fill>
    <fill>
      <patternFill patternType="solid">
        <fgColor rgb="FFDEEAF1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EEAF1"/>
      </patternFill>
    </fill>
    <fill>
      <patternFill patternType="solid">
        <fgColor rgb="FF7F3F98"/>
        <bgColor rgb="FF993366"/>
      </patternFill>
    </fill>
    <fill>
      <patternFill patternType="solid">
        <fgColor rgb="FFD9E1F2"/>
        <bgColor rgb="FFDEEAF1"/>
      </patternFill>
    </fill>
    <fill>
      <patternFill patternType="solid">
        <fgColor rgb="FF7F6000"/>
        <bgColor rgb="FF843C0C"/>
      </patternFill>
    </fill>
    <fill>
      <patternFill patternType="solid">
        <fgColor rgb="FF843C0C"/>
        <bgColor rgb="FF7F6000"/>
      </patternFill>
    </fill>
    <fill>
      <patternFill patternType="solid">
        <fgColor rgb="FF1C3557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DEEAF1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2" fillId="4" borderId="9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numFmt numFmtId="2" formatCode="0.00"/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numFmt numFmtId="0" formatCode="General"/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charset val="1"/>
        <scheme val="none"/>
      </font>
      <fill>
        <patternFill patternType="solid">
          <fgColor rgb="FFF2F2F2"/>
          <bgColor rgb="FFEEF4FB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charset val="1"/>
        <scheme val="none"/>
      </font>
      <fill>
        <patternFill patternType="solid">
          <fgColor rgb="FF1C3557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7F7F7F"/>
      <rgbColor rgb="FF9999FF"/>
      <rgbColor rgb="FF7F3F98"/>
      <rgbColor rgb="FFFFFDE7"/>
      <rgbColor rgb="FFDEEAF1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FF2CC"/>
      <rgbColor rgb="FFEDE7F6"/>
      <rgbColor rgb="FFF2F2F2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C3557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Hiring Funnel</a:t>
            </a:r>
          </a:p>
        </c:rich>
      </c:tx>
      <c:layout>
        <c:manualLayout>
          <c:xMode val="edge"/>
          <c:yMode val="edge"/>
          <c:x val="0.4103030991318392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23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 SemiBold SemiConden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Summary_Metrics!$B$5:$B$9</c:f>
              <c:strCache>
                <c:ptCount val="5"/>
                <c:pt idx="0">
                  <c:v>Total Requisitions</c:v>
                </c:pt>
                <c:pt idx="1">
                  <c:v>Total Interviewed</c:v>
                </c:pt>
                <c:pt idx="2">
                  <c:v>Total Selected</c:v>
                </c:pt>
                <c:pt idx="3">
                  <c:v>Offers Accepted</c:v>
                </c:pt>
                <c:pt idx="4">
                  <c:v>Total Joined</c:v>
                </c:pt>
              </c:strCache>
            </c:strRef>
          </c:cat>
          <c:val>
            <c:numRef>
              <c:f>Summary_Metrics!$C$5:$C$9</c:f>
              <c:numCache>
                <c:formatCode>General</c:formatCode>
                <c:ptCount val="5"/>
                <c:pt idx="0">
                  <c:v>50</c:v>
                </c:pt>
                <c:pt idx="1">
                  <c:v>49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3-423A-99E3-70C44AE93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83893727"/>
        <c:axId val="883913407"/>
      </c:barChart>
      <c:catAx>
        <c:axId val="88389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913407"/>
        <c:crosses val="autoZero"/>
        <c:auto val="1"/>
        <c:lblAlgn val="ctr"/>
        <c:lblOffset val="100"/>
        <c:noMultiLvlLbl val="0"/>
      </c:catAx>
      <c:valAx>
        <c:axId val="883913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389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cap="all" spc="120" normalizeH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800" b="1" i="0" u="none" strike="noStrike" kern="1200" cap="all" spc="120" normalizeH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Recruiter Performance Chart</a:t>
            </a:r>
          </a:p>
        </c:rich>
      </c:tx>
      <c:layout>
        <c:manualLayout>
          <c:xMode val="edge"/>
          <c:yMode val="edge"/>
          <c:x val="0.69440760389036238"/>
          <c:y val="6.155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cap="all" spc="12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1976649470542"/>
          <c:y val="4.3489769744691008E-2"/>
          <c:w val="0.61664926168048617"/>
          <c:h val="0.846669947506561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Summary_Metrics!$C$16</c:f>
              <c:strCache>
                <c:ptCount val="1"/>
                <c:pt idx="0">
                  <c:v>Total Reqs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Summary_Metrics!$B$17:$B$20</c:f>
              <c:strCache>
                <c:ptCount val="4"/>
                <c:pt idx="0">
                  <c:v>Senthil Kumar</c:v>
                </c:pt>
                <c:pt idx="1">
                  <c:v>Anitha R</c:v>
                </c:pt>
                <c:pt idx="2">
                  <c:v>Ramesh Gupta</c:v>
                </c:pt>
                <c:pt idx="3">
                  <c:v>Kavitha M</c:v>
                </c:pt>
              </c:strCache>
            </c:strRef>
          </c:cat>
          <c:val>
            <c:numRef>
              <c:f>Summary_Metrics!$C$17:$C$20</c:f>
              <c:numCache>
                <c:formatCode>General</c:formatCode>
                <c:ptCount val="4"/>
                <c:pt idx="0">
                  <c:v>16</c:v>
                </c:pt>
                <c:pt idx="1">
                  <c:v>13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A-4ED7-B1F8-E3647D9CAC23}"/>
            </c:ext>
          </c:extLst>
        </c:ser>
        <c:ser>
          <c:idx val="1"/>
          <c:order val="1"/>
          <c:tx>
            <c:strRef>
              <c:f>Summary_Metrics!$D$16</c:f>
              <c:strCache>
                <c:ptCount val="1"/>
                <c:pt idx="0">
                  <c:v>Placements (Joined)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Summary_Metrics!$B$17:$B$20</c:f>
              <c:strCache>
                <c:ptCount val="4"/>
                <c:pt idx="0">
                  <c:v>Senthil Kumar</c:v>
                </c:pt>
                <c:pt idx="1">
                  <c:v>Anitha R</c:v>
                </c:pt>
                <c:pt idx="2">
                  <c:v>Ramesh Gupta</c:v>
                </c:pt>
                <c:pt idx="3">
                  <c:v>Kavitha M</c:v>
                </c:pt>
              </c:strCache>
            </c:strRef>
          </c:cat>
          <c:val>
            <c:numRef>
              <c:f>Summary_Metrics!$D$17:$D$20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A-4ED7-B1F8-E3647D9CAC23}"/>
            </c:ext>
          </c:extLst>
        </c:ser>
        <c:ser>
          <c:idx val="2"/>
          <c:order val="2"/>
          <c:tx>
            <c:strRef>
              <c:f>Summary_Metrics!$F$16</c:f>
              <c:strCache>
                <c:ptCount val="1"/>
                <c:pt idx="0">
                  <c:v>Avg TAT (days)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Summary_Metrics!$B$17:$B$20</c:f>
              <c:strCache>
                <c:ptCount val="4"/>
                <c:pt idx="0">
                  <c:v>Senthil Kumar</c:v>
                </c:pt>
                <c:pt idx="1">
                  <c:v>Anitha R</c:v>
                </c:pt>
                <c:pt idx="2">
                  <c:v>Ramesh Gupta</c:v>
                </c:pt>
                <c:pt idx="3">
                  <c:v>Kavitha M</c:v>
                </c:pt>
              </c:strCache>
            </c:strRef>
          </c:cat>
          <c:val>
            <c:numRef>
              <c:f>Summary_Metrics!$F$17:$F$20</c:f>
              <c:numCache>
                <c:formatCode>General</c:formatCode>
                <c:ptCount val="4"/>
                <c:pt idx="0">
                  <c:v>17.5</c:v>
                </c:pt>
                <c:pt idx="1">
                  <c:v>18.8</c:v>
                </c:pt>
                <c:pt idx="2">
                  <c:v>19.329999999999998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A-4ED7-B1F8-E3647D9CAC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83785999"/>
        <c:axId val="1083793679"/>
      </c:barChart>
      <c:catAx>
        <c:axId val="1083785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93679"/>
        <c:crosses val="autoZero"/>
        <c:auto val="1"/>
        <c:lblAlgn val="ctr"/>
        <c:lblOffset val="100"/>
        <c:noMultiLvlLbl val="0"/>
      </c:catAx>
      <c:valAx>
        <c:axId val="108379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rnd" cmpd="sng" algn="ctr">
      <a:noFill/>
      <a:round/>
    </a:ln>
    <a:effectLst>
      <a:softEdge rad="12700"/>
    </a:effectLst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cap="all" spc="120" normalizeH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all" spc="120" normalizeH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cap="all" spc="120" normalizeH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864197530864196E-2"/>
          <c:y val="0.18300925925925926"/>
          <c:w val="0.95149911816578481"/>
          <c:h val="0.60368802857976089"/>
        </c:manualLayout>
      </c:layout>
      <c:lineChart>
        <c:grouping val="standard"/>
        <c:varyColors val="0"/>
        <c:ser>
          <c:idx val="0"/>
          <c:order val="0"/>
          <c:tx>
            <c:strRef>
              <c:f>Summary_Metrics!$C$30</c:f>
              <c:strCache>
                <c:ptCount val="1"/>
                <c:pt idx="0">
                  <c:v>Total Sourced</c:v>
                </c:pt>
              </c:strCache>
            </c:strRef>
          </c:tx>
          <c:spPr>
            <a:ln w="317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Summary_Metrics!$B$31:$B$36</c:f>
              <c:strCache>
                <c:ptCount val="6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</c:strCache>
            </c:strRef>
          </c:cat>
          <c:val>
            <c:numRef>
              <c:f>Summary_Metrics!$C$31:$C$36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D-4BEC-9707-3C76F9D8BAF7}"/>
            </c:ext>
          </c:extLst>
        </c:ser>
        <c:ser>
          <c:idx val="1"/>
          <c:order val="1"/>
          <c:tx>
            <c:strRef>
              <c:f>Summary_Metrics!$D$30</c:f>
              <c:strCache>
                <c:ptCount val="1"/>
                <c:pt idx="0">
                  <c:v>Joined</c:v>
                </c:pt>
              </c:strCache>
            </c:strRef>
          </c:tx>
          <c:spPr>
            <a:ln w="317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Summary_Metrics!$B$31:$B$36</c:f>
              <c:strCache>
                <c:ptCount val="6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</c:strCache>
            </c:strRef>
          </c:cat>
          <c:val>
            <c:numRef>
              <c:f>Summary_Metrics!$D$31:$D$36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D-4BEC-9707-3C76F9D8BA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850319"/>
        <c:axId val="1083853199"/>
      </c:lineChart>
      <c:catAx>
        <c:axId val="108385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53199"/>
        <c:crosses val="autoZero"/>
        <c:auto val="1"/>
        <c:lblAlgn val="ctr"/>
        <c:lblOffset val="100"/>
        <c:noMultiLvlLbl val="0"/>
      </c:catAx>
      <c:valAx>
        <c:axId val="10838531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385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Summary_Metrics!$C$39</c:f>
              <c:strCache>
                <c:ptCount val="1"/>
                <c:pt idx="0">
                  <c:v>Avg Expected CTC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Summary_Metrics!$B$40:$B$45</c:f>
              <c:strCache>
                <c:ptCount val="6"/>
                <c:pt idx="0">
                  <c:v>Data Analyst</c:v>
                </c:pt>
                <c:pt idx="1">
                  <c:v>MIS Analyst</c:v>
                </c:pt>
                <c:pt idx="2">
                  <c:v>Business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Reporting Analyst</c:v>
                </c:pt>
              </c:strCache>
            </c:strRef>
          </c:cat>
          <c:val>
            <c:numRef>
              <c:f>Summary_Metrics!$C$40:$C$45</c:f>
              <c:numCache>
                <c:formatCode>General</c:formatCode>
                <c:ptCount val="6"/>
                <c:pt idx="0">
                  <c:v>6.75</c:v>
                </c:pt>
                <c:pt idx="1">
                  <c:v>4.68</c:v>
                </c:pt>
                <c:pt idx="2">
                  <c:v>8.07</c:v>
                </c:pt>
                <c:pt idx="3">
                  <c:v>14.14</c:v>
                </c:pt>
                <c:pt idx="4">
                  <c:v>16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F-44A5-9379-D6D6391BD6AB}"/>
            </c:ext>
          </c:extLst>
        </c:ser>
        <c:ser>
          <c:idx val="1"/>
          <c:order val="1"/>
          <c:tx>
            <c:strRef>
              <c:f>Summary_Metrics!$D$39</c:f>
              <c:strCache>
                <c:ptCount val="1"/>
                <c:pt idx="0">
                  <c:v>Avg Offered CTC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Summary_Metrics!$B$40:$B$45</c:f>
              <c:strCache>
                <c:ptCount val="6"/>
                <c:pt idx="0">
                  <c:v>Data Analyst</c:v>
                </c:pt>
                <c:pt idx="1">
                  <c:v>MIS Analyst</c:v>
                </c:pt>
                <c:pt idx="2">
                  <c:v>Business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Reporting Analyst</c:v>
                </c:pt>
              </c:strCache>
            </c:strRef>
          </c:cat>
          <c:val>
            <c:numRef>
              <c:f>Summary_Metrics!$D$40:$D$45</c:f>
              <c:numCache>
                <c:formatCode>General</c:formatCode>
                <c:ptCount val="6"/>
                <c:pt idx="0">
                  <c:v>6.96</c:v>
                </c:pt>
                <c:pt idx="1">
                  <c:v>4.5</c:v>
                </c:pt>
                <c:pt idx="2">
                  <c:v>8.1300000000000008</c:v>
                </c:pt>
                <c:pt idx="3">
                  <c:v>13.75</c:v>
                </c:pt>
                <c:pt idx="4">
                  <c:v>16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F-44A5-9379-D6D6391BD6AB}"/>
            </c:ext>
          </c:extLst>
        </c:ser>
        <c:ser>
          <c:idx val="2"/>
          <c:order val="2"/>
          <c:tx>
            <c:strRef>
              <c:f>Summary_Metrics!$E$39</c:f>
              <c:strCache>
                <c:ptCount val="1"/>
                <c:pt idx="0">
                  <c:v>Gap (Expected - Offered)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045855379188512E-3"/>
                  <c:y val="0.1562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6F-44A5-9379-D6D6391BD6AB}"/>
                </c:ext>
              </c:extLst>
            </c:dLbl>
            <c:dLbl>
              <c:idx val="2"/>
              <c:layout>
                <c:manualLayout>
                  <c:x val="3.3068783068783067E-3"/>
                  <c:y val="0.170454545454545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6F-44A5-9379-D6D6391BD6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Summary_Metrics!$B$40:$B$45</c:f>
              <c:strCache>
                <c:ptCount val="6"/>
                <c:pt idx="0">
                  <c:v>Data Analyst</c:v>
                </c:pt>
                <c:pt idx="1">
                  <c:v>MIS Analyst</c:v>
                </c:pt>
                <c:pt idx="2">
                  <c:v>Business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Reporting Analyst</c:v>
                </c:pt>
              </c:strCache>
            </c:strRef>
          </c:cat>
          <c:val>
            <c:numRef>
              <c:f>Summary_Metrics!$E$40:$E$45</c:f>
              <c:numCache>
                <c:formatCode>General</c:formatCode>
                <c:ptCount val="6"/>
                <c:pt idx="0">
                  <c:v>-0.20999999999999996</c:v>
                </c:pt>
                <c:pt idx="1">
                  <c:v>0.17999999999999972</c:v>
                </c:pt>
                <c:pt idx="2">
                  <c:v>-6.0000000000000497E-2</c:v>
                </c:pt>
                <c:pt idx="3">
                  <c:v>0.39000000000000057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F-44A5-9379-D6D6391BD6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83751919"/>
        <c:axId val="1083759599"/>
      </c:barChart>
      <c:catAx>
        <c:axId val="108375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9599"/>
        <c:crosses val="autoZero"/>
        <c:auto val="1"/>
        <c:lblAlgn val="ctr"/>
        <c:lblOffset val="100"/>
        <c:noMultiLvlLbl val="0"/>
      </c:catAx>
      <c:valAx>
        <c:axId val="1083759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375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Sourcing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Summary_Metrics!$C$23</c:f>
              <c:strCache>
                <c:ptCount val="1"/>
                <c:pt idx="0">
                  <c:v>Total Sourced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76000"/>
                  </a:schemeClr>
                </a:gs>
                <a:gs pos="75000">
                  <a:schemeClr val="accent1">
                    <a:shade val="76000"/>
                    <a:lumMod val="60000"/>
                    <a:lumOff val="40000"/>
                  </a:schemeClr>
                </a:gs>
                <a:gs pos="51000">
                  <a:schemeClr val="accent1">
                    <a:shade val="76000"/>
                    <a:alpha val="75000"/>
                  </a:schemeClr>
                </a:gs>
                <a:gs pos="100000">
                  <a:schemeClr val="accent1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Summary_Metrics!$B$24:$B$27</c:f>
              <c:strCache>
                <c:ptCount val="4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  <c:pt idx="3">
                  <c:v>Walk-In</c:v>
                </c:pt>
              </c:strCache>
            </c:strRef>
          </c:cat>
          <c:val>
            <c:numRef>
              <c:f>Summary_Metrics!$C$24:$C$27</c:f>
              <c:numCache>
                <c:formatCode>General</c:formatCode>
                <c:ptCount val="4"/>
                <c:pt idx="0">
                  <c:v>24</c:v>
                </c:pt>
                <c:pt idx="1">
                  <c:v>12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D-4422-A8E8-A1B709E7239D}"/>
            </c:ext>
          </c:extLst>
        </c:ser>
        <c:ser>
          <c:idx val="1"/>
          <c:order val="1"/>
          <c:tx>
            <c:strRef>
              <c:f>Summary_Metrics!$D$23</c:f>
              <c:strCache>
                <c:ptCount val="1"/>
                <c:pt idx="0">
                  <c:v>Joined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77000"/>
                  </a:schemeClr>
                </a:gs>
                <a:gs pos="75000">
                  <a:schemeClr val="accent1">
                    <a:tint val="77000"/>
                    <a:lumMod val="60000"/>
                    <a:lumOff val="40000"/>
                  </a:schemeClr>
                </a:gs>
                <a:gs pos="51000">
                  <a:schemeClr val="accent1">
                    <a:tint val="77000"/>
                    <a:alpha val="75000"/>
                  </a:schemeClr>
                </a:gs>
                <a:gs pos="100000">
                  <a:schemeClr val="accent1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Summary_Metrics!$B$24:$B$27</c:f>
              <c:strCache>
                <c:ptCount val="4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  <c:pt idx="3">
                  <c:v>Walk-In</c:v>
                </c:pt>
              </c:strCache>
            </c:strRef>
          </c:cat>
          <c:val>
            <c:numRef>
              <c:f>Summary_Metrics!$D$24:$D$27</c:f>
              <c:numCache>
                <c:formatCode>General</c:formatCode>
                <c:ptCount val="4"/>
                <c:pt idx="0">
                  <c:v>18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D-4422-A8E8-A1B709E723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083753359"/>
        <c:axId val="1083764879"/>
      </c:barChart>
      <c:catAx>
        <c:axId val="10837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64879"/>
        <c:crosses val="autoZero"/>
        <c:auto val="1"/>
        <c:lblAlgn val="ctr"/>
        <c:lblOffset val="100"/>
        <c:noMultiLvlLbl val="0"/>
      </c:catAx>
      <c:valAx>
        <c:axId val="1083764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37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15240</xdr:rowOff>
    </xdr:from>
    <xdr:to>
      <xdr:col>7</xdr:col>
      <xdr:colOff>30480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129E74-3D90-4B72-9A49-47DFABE4C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</xdr:row>
      <xdr:rowOff>7620</xdr:rowOff>
    </xdr:from>
    <xdr:to>
      <xdr:col>14</xdr:col>
      <xdr:colOff>7620</xdr:colOff>
      <xdr:row>16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D50BF-9D7A-4283-9667-FA5507FDE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16</xdr:row>
      <xdr:rowOff>167640</xdr:rowOff>
    </xdr:from>
    <xdr:to>
      <xdr:col>14</xdr:col>
      <xdr:colOff>7620</xdr:colOff>
      <xdr:row>28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D82EA-0224-44CF-8E06-B9F5936CAC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129540</xdr:colOff>
      <xdr:row>28</xdr:row>
      <xdr:rowOff>15240</xdr:rowOff>
    </xdr:from>
    <xdr:to>
      <xdr:col>13</xdr:col>
      <xdr:colOff>0</xdr:colOff>
      <xdr:row>40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EE8C1-24C9-419F-9457-DBBD34BA8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</xdr:row>
      <xdr:rowOff>121920</xdr:rowOff>
    </xdr:from>
    <xdr:to>
      <xdr:col>6</xdr:col>
      <xdr:colOff>944880</xdr:colOff>
      <xdr:row>28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0325FB-2364-403B-9D6C-95906D5DF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E3ABD-D3ED-4E27-8E05-C7C08BA01F68}" name="Table1" displayName="Table1" ref="A1:AA51" totalsRowShown="0" headerRowDxfId="31" dataDxfId="29" headerRowBorderDxfId="30" tableBorderDxfId="28" totalsRowBorderDxfId="27">
  <autoFilter ref="A1:AA51" xr:uid="{94BE3ABD-D3ED-4E27-8E05-C7C08BA01F68}"/>
  <tableColumns count="27">
    <tableColumn id="1" xr3:uid="{85743127-EE90-41F4-924F-68CB57CBDE13}" name="Req_ID" dataDxfId="26"/>
    <tableColumn id="2" xr3:uid="{DF868269-A798-4DFC-9862-FAE6D3E67BE9}" name="Client_Name" dataDxfId="25"/>
    <tableColumn id="3" xr3:uid="{46667451-0216-46DC-9ACE-5223E3D9D89A}" name="Industry" dataDxfId="24"/>
    <tableColumn id="4" xr3:uid="{A0CA490F-4C56-45EE-85EA-ADF8ED604BA9}" name="Role" dataDxfId="23"/>
    <tableColumn id="5" xr3:uid="{F7C08253-3AED-4A85-8BFE-BA753030C2BD}" name="Seniority_Level" dataDxfId="22"/>
    <tableColumn id="6" xr3:uid="{B9C8752F-C62E-46E2-BD4D-F84C71809765}" name="Recruiter_Name" dataDxfId="21"/>
    <tableColumn id="7" xr3:uid="{1CFCD1DA-1A4F-42D3-AE8D-32E53D539005}" name="Region" dataDxfId="20"/>
    <tableColumn id="8" xr3:uid="{D7C6B00F-6FC7-4984-9F68-56E292753044}" name="Sourcing_Channel" dataDxfId="19"/>
    <tableColumn id="9" xr3:uid="{B6D492F4-7CFF-4079-A6D9-7E6B018F395B}" name="Date_Sourced" dataDxfId="18"/>
    <tableColumn id="10" xr3:uid="{737B343C-DB29-4B54-B6DE-EEE8D122C02F}" name="Date_Submitted" dataDxfId="17"/>
    <tableColumn id="11" xr3:uid="{425ECED6-E722-4161-B537-D1F93EE309E1}" name="Date_Interview" dataDxfId="16"/>
    <tableColumn id="12" xr3:uid="{F8800E9E-1A84-4A7C-B2AF-BDAFA7FB42E8}" name="Date_Offer" dataDxfId="15"/>
    <tableColumn id="13" xr3:uid="{414D91B7-6422-4B8B-9642-E3FAAB69E708}" name="Date_Joined" dataDxfId="14"/>
    <tableColumn id="14" xr3:uid="{B6E4A0EF-1F3C-4A73-9ADD-C845FC9990FA}" name="Candidate_Name" dataDxfId="13"/>
    <tableColumn id="15" xr3:uid="{66750993-20F3-4040-8455-A29C402C4024}" name="Gender" dataDxfId="12"/>
    <tableColumn id="16" xr3:uid="{B7D7CCCA-FCB6-4BCD-994F-4F280152A7AE}" name="Experience_Yrs" dataDxfId="11"/>
    <tableColumn id="17" xr3:uid="{A36B1E11-D840-4D06-AB3B-37CE3DCCFF6C}" name="Current_CTC_LPA" dataDxfId="10"/>
    <tableColumn id="18" xr3:uid="{636340F7-C922-4287-82C3-DA19ED0D67B9}" name="Expected_CTC_LPA" dataDxfId="9"/>
    <tableColumn id="19" xr3:uid="{74675827-9EAE-4D53-80F1-8139349232D1}" name="Offered_CTC_LPA" dataDxfId="8"/>
    <tableColumn id="20" xr3:uid="{4A2852DC-9742-4CEC-A1A4-FF15746BCA3D}" name="Location" dataDxfId="7"/>
    <tableColumn id="21" xr3:uid="{0025E62D-8212-4C62-9F9C-8E602A2ADFAA}" name="Interview_Status" dataDxfId="6"/>
    <tableColumn id="22" xr3:uid="{57B0668E-2D94-4AC5-82F5-E14FED8ACFFA}" name="Offer_Status" dataDxfId="5"/>
    <tableColumn id="23" xr3:uid="{4E232949-63A3-4A20-970E-377E31BD55DB}" name="Joining_Status" dataDxfId="4"/>
    <tableColumn id="24" xr3:uid="{2EC0D82A-052C-45BA-BF08-29FB383139EF}" name="Notice_Period_Days" dataDxfId="3"/>
    <tableColumn id="25" xr3:uid="{0A5DDBEE-AEEF-4FE8-98BE-0166E31BB12D}" name="TAT_Days" dataDxfId="2"/>
    <tableColumn id="26" xr3:uid="{C9D3EE9F-4E46-4202-A2B2-0B4EEE2E95BD}" name="sourced_month" dataDxfId="1">
      <calculatedColumnFormula>TEXT(Table1[[#This Row],[Date_Sourced]],"mmm - YYYY")</calculatedColumnFormula>
    </tableColumn>
    <tableColumn id="27" xr3:uid="{368463F5-01AD-430D-A455-446C98C4F683}" name="Joined_month" dataDxfId="0">
      <calculatedColumnFormula>TEXT(Table1[[#This Row],[Date_Joined]],"mmm -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A51"/>
  <sheetViews>
    <sheetView topLeftCell="L1" zoomScaleNormal="100" workbookViewId="0">
      <pane ySplit="1" topLeftCell="A2" activePane="bottomLeft" state="frozen"/>
      <selection pane="bottomLeft" activeCell="S57" sqref="S57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6" customWidth="1"/>
    <col min="4" max="4" width="20" customWidth="1"/>
    <col min="5" max="5" width="14" customWidth="1"/>
    <col min="6" max="6" width="16" customWidth="1"/>
    <col min="7" max="7" width="13" customWidth="1"/>
    <col min="8" max="8" width="16" customWidth="1"/>
    <col min="9" max="9" width="13" customWidth="1"/>
    <col min="10" max="10" width="14.109375" customWidth="1"/>
    <col min="11" max="11" width="13.5546875" customWidth="1"/>
    <col min="12" max="13" width="12" customWidth="1"/>
    <col min="14" max="14" width="18" customWidth="1"/>
    <col min="15" max="15" width="8.109375" customWidth="1"/>
    <col min="16" max="16" width="13.44140625" customWidth="1"/>
    <col min="17" max="17" width="14.77734375" customWidth="1"/>
    <col min="18" max="18" width="16" customWidth="1"/>
    <col min="19" max="19" width="15" style="14" customWidth="1"/>
    <col min="20" max="21" width="16" customWidth="1"/>
    <col min="22" max="23" width="13" customWidth="1"/>
    <col min="24" max="24" width="16.77734375" customWidth="1"/>
    <col min="25" max="25" width="10" customWidth="1"/>
    <col min="26" max="26" width="14.33203125" bestFit="1" customWidth="1"/>
    <col min="27" max="27" width="12.77734375" bestFit="1" customWidth="1"/>
  </cols>
  <sheetData>
    <row r="1" spans="1:27" ht="31.5" customHeigh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1" t="s">
        <v>24</v>
      </c>
      <c r="Z1" s="48" t="s">
        <v>333</v>
      </c>
      <c r="AA1" s="48" t="s">
        <v>334</v>
      </c>
    </row>
    <row r="2" spans="1:27" ht="15" customHeight="1" x14ac:dyDescent="0.3">
      <c r="A2" s="15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2" t="s">
        <v>38</v>
      </c>
      <c r="O2" s="2" t="s">
        <v>39</v>
      </c>
      <c r="P2" s="1">
        <v>3</v>
      </c>
      <c r="Q2" s="1">
        <v>5</v>
      </c>
      <c r="R2" s="1">
        <v>6.5</v>
      </c>
      <c r="S2" s="12">
        <v>6.5</v>
      </c>
      <c r="T2" s="2" t="s">
        <v>40</v>
      </c>
      <c r="U2" s="2" t="s">
        <v>41</v>
      </c>
      <c r="V2" s="2" t="s">
        <v>42</v>
      </c>
      <c r="W2" s="2" t="s">
        <v>43</v>
      </c>
      <c r="X2" s="1">
        <v>30</v>
      </c>
      <c r="Y2" s="17">
        <v>15</v>
      </c>
      <c r="Z2" s="47" t="str">
        <f>TEXT(Table1[[#This Row],[Date_Sourced]],"mmm - YYYY")</f>
        <v>Jan - 2025</v>
      </c>
      <c r="AA2" s="47" t="str">
        <f>TEXT(Table1[[#This Row],[Date_Joined]],"mmm - YYYY")</f>
        <v>Jan - 2025</v>
      </c>
    </row>
    <row r="3" spans="1:27" ht="15" customHeight="1" x14ac:dyDescent="0.3">
      <c r="A3" s="16" t="s">
        <v>44</v>
      </c>
      <c r="B3" s="4" t="s">
        <v>45</v>
      </c>
      <c r="C3" s="4" t="s">
        <v>27</v>
      </c>
      <c r="D3" s="4" t="s">
        <v>46</v>
      </c>
      <c r="E3" s="4" t="s">
        <v>29</v>
      </c>
      <c r="F3" s="4" t="s">
        <v>47</v>
      </c>
      <c r="G3" s="4" t="s">
        <v>31</v>
      </c>
      <c r="H3" s="4" t="s">
        <v>48</v>
      </c>
      <c r="I3" s="3" t="s">
        <v>49</v>
      </c>
      <c r="J3" s="3" t="s">
        <v>50</v>
      </c>
      <c r="K3" s="3" t="s">
        <v>51</v>
      </c>
      <c r="L3" s="3"/>
      <c r="M3" s="3"/>
      <c r="N3" s="4" t="s">
        <v>52</v>
      </c>
      <c r="O3" s="4" t="s">
        <v>53</v>
      </c>
      <c r="P3" s="3">
        <v>2</v>
      </c>
      <c r="Q3" s="3">
        <v>4</v>
      </c>
      <c r="R3" s="3">
        <v>5</v>
      </c>
      <c r="S3" s="13">
        <v>0</v>
      </c>
      <c r="T3" s="4" t="s">
        <v>54</v>
      </c>
      <c r="U3" s="4" t="s">
        <v>55</v>
      </c>
      <c r="V3" s="4" t="s">
        <v>56</v>
      </c>
      <c r="W3" s="4" t="s">
        <v>57</v>
      </c>
      <c r="X3" s="3">
        <v>60</v>
      </c>
      <c r="Y3" s="18">
        <v>0</v>
      </c>
      <c r="Z3" s="47" t="str">
        <f>TEXT(Table1[[#This Row],[Date_Sourced]],"mmm - YYYY")</f>
        <v>Jan - 2025</v>
      </c>
      <c r="AA3" s="47" t="str">
        <f>TEXT(Table1[[#This Row],[Date_Joined]],"mmm - YYYY")</f>
        <v>Jan - 1900</v>
      </c>
    </row>
    <row r="4" spans="1:27" ht="15" customHeight="1" x14ac:dyDescent="0.3">
      <c r="A4" s="15" t="s">
        <v>58</v>
      </c>
      <c r="B4" s="2" t="s">
        <v>59</v>
      </c>
      <c r="C4" s="2" t="s">
        <v>27</v>
      </c>
      <c r="D4" s="2" t="s">
        <v>60</v>
      </c>
      <c r="E4" s="2" t="s">
        <v>61</v>
      </c>
      <c r="F4" s="2" t="s">
        <v>30</v>
      </c>
      <c r="G4" s="2" t="s">
        <v>31</v>
      </c>
      <c r="H4" s="2" t="s">
        <v>62</v>
      </c>
      <c r="I4" s="1" t="s">
        <v>63</v>
      </c>
      <c r="J4" s="1" t="s">
        <v>64</v>
      </c>
      <c r="K4" s="1" t="s">
        <v>36</v>
      </c>
      <c r="L4" s="1"/>
      <c r="M4" s="1"/>
      <c r="N4" s="2" t="s">
        <v>65</v>
      </c>
      <c r="O4" s="2" t="s">
        <v>39</v>
      </c>
      <c r="P4" s="1">
        <v>4</v>
      </c>
      <c r="Q4" s="1">
        <v>6.5</v>
      </c>
      <c r="R4" s="1">
        <v>8</v>
      </c>
      <c r="S4" s="12">
        <v>0</v>
      </c>
      <c r="T4" s="2" t="s">
        <v>66</v>
      </c>
      <c r="U4" s="2" t="s">
        <v>67</v>
      </c>
      <c r="V4" s="26"/>
      <c r="W4" s="2" t="s">
        <v>57</v>
      </c>
      <c r="X4" s="1">
        <v>30</v>
      </c>
      <c r="Y4" s="17">
        <v>0</v>
      </c>
      <c r="Z4" s="47" t="str">
        <f>TEXT(Table1[[#This Row],[Date_Sourced]],"mmm - YYYY")</f>
        <v>Jan - 2025</v>
      </c>
      <c r="AA4" s="47" t="str">
        <f>TEXT(Table1[[#This Row],[Date_Joined]],"mmm - YYYY")</f>
        <v>Jan - 1900</v>
      </c>
    </row>
    <row r="5" spans="1:27" ht="15" customHeight="1" x14ac:dyDescent="0.3">
      <c r="A5" s="16" t="s">
        <v>68</v>
      </c>
      <c r="B5" s="4" t="s">
        <v>69</v>
      </c>
      <c r="C5" s="4" t="s">
        <v>27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32</v>
      </c>
      <c r="I5" s="3" t="s">
        <v>64</v>
      </c>
      <c r="J5" s="3" t="s">
        <v>74</v>
      </c>
      <c r="K5" s="3" t="s">
        <v>75</v>
      </c>
      <c r="L5" s="3" t="s">
        <v>76</v>
      </c>
      <c r="M5" s="3" t="s">
        <v>77</v>
      </c>
      <c r="N5" s="4" t="s">
        <v>78</v>
      </c>
      <c r="O5" s="4" t="s">
        <v>53</v>
      </c>
      <c r="P5" s="3">
        <v>5</v>
      </c>
      <c r="Q5" s="3">
        <v>10</v>
      </c>
      <c r="R5" s="3">
        <v>12</v>
      </c>
      <c r="S5" s="13">
        <v>12</v>
      </c>
      <c r="T5" s="4" t="s">
        <v>79</v>
      </c>
      <c r="U5" s="4" t="s">
        <v>41</v>
      </c>
      <c r="V5" s="4" t="s">
        <v>42</v>
      </c>
      <c r="W5" s="4" t="s">
        <v>43</v>
      </c>
      <c r="X5" s="3">
        <v>15</v>
      </c>
      <c r="Y5" s="18">
        <v>18</v>
      </c>
      <c r="Z5" s="47" t="str">
        <f>TEXT(Table1[[#This Row],[Date_Sourced]],"mmm - YYYY")</f>
        <v>Jan - 2025</v>
      </c>
      <c r="AA5" s="47" t="str">
        <f>TEXT(Table1[[#This Row],[Date_Joined]],"mmm - YYYY")</f>
        <v>Jan - 2025</v>
      </c>
    </row>
    <row r="6" spans="1:27" ht="15" customHeight="1" x14ac:dyDescent="0.3">
      <c r="A6" s="15" t="s">
        <v>80</v>
      </c>
      <c r="B6" s="2" t="s">
        <v>81</v>
      </c>
      <c r="C6" s="2" t="s">
        <v>27</v>
      </c>
      <c r="D6" s="2" t="s">
        <v>46</v>
      </c>
      <c r="E6" s="2" t="s">
        <v>29</v>
      </c>
      <c r="F6" s="2" t="s">
        <v>47</v>
      </c>
      <c r="G6" s="2" t="s">
        <v>31</v>
      </c>
      <c r="H6" s="2" t="s">
        <v>48</v>
      </c>
      <c r="I6" s="1" t="s">
        <v>35</v>
      </c>
      <c r="J6" s="1" t="s">
        <v>36</v>
      </c>
      <c r="K6" s="1"/>
      <c r="L6" s="1"/>
      <c r="M6" s="1"/>
      <c r="N6" s="2" t="s">
        <v>82</v>
      </c>
      <c r="O6" s="2" t="s">
        <v>39</v>
      </c>
      <c r="P6" s="1">
        <v>1</v>
      </c>
      <c r="Q6" s="1">
        <v>3</v>
      </c>
      <c r="R6" s="1">
        <v>3.5</v>
      </c>
      <c r="S6" s="12">
        <v>0</v>
      </c>
      <c r="T6" s="2" t="s">
        <v>40</v>
      </c>
      <c r="U6" s="2" t="s">
        <v>55</v>
      </c>
      <c r="V6" s="2" t="s">
        <v>56</v>
      </c>
      <c r="W6" s="2" t="s">
        <v>57</v>
      </c>
      <c r="X6" s="1">
        <v>0</v>
      </c>
      <c r="Y6" s="17">
        <v>0</v>
      </c>
      <c r="Z6" s="47" t="str">
        <f>TEXT(Table1[[#This Row],[Date_Sourced]],"mmm - YYYY")</f>
        <v>Jan - 2025</v>
      </c>
      <c r="AA6" s="47" t="str">
        <f>TEXT(Table1[[#This Row],[Date_Joined]],"mmm - YYYY")</f>
        <v>Jan - 1900</v>
      </c>
    </row>
    <row r="7" spans="1:27" ht="15" customHeight="1" x14ac:dyDescent="0.3">
      <c r="A7" s="16" t="s">
        <v>83</v>
      </c>
      <c r="B7" s="4" t="s">
        <v>84</v>
      </c>
      <c r="C7" s="4" t="s">
        <v>85</v>
      </c>
      <c r="D7" s="4" t="s">
        <v>28</v>
      </c>
      <c r="E7" s="4" t="s">
        <v>61</v>
      </c>
      <c r="F7" s="4" t="s">
        <v>86</v>
      </c>
      <c r="G7" s="4" t="s">
        <v>87</v>
      </c>
      <c r="H7" s="4" t="s">
        <v>32</v>
      </c>
      <c r="I7" s="3" t="s">
        <v>36</v>
      </c>
      <c r="J7" s="3" t="s">
        <v>88</v>
      </c>
      <c r="K7" s="3" t="s">
        <v>76</v>
      </c>
      <c r="L7" s="3" t="s">
        <v>89</v>
      </c>
      <c r="M7" s="3" t="s">
        <v>90</v>
      </c>
      <c r="N7" s="4" t="s">
        <v>91</v>
      </c>
      <c r="O7" s="4" t="s">
        <v>53</v>
      </c>
      <c r="P7" s="3">
        <v>3</v>
      </c>
      <c r="Q7" s="3">
        <v>5.5</v>
      </c>
      <c r="R7" s="3">
        <v>7</v>
      </c>
      <c r="S7" s="13">
        <v>7</v>
      </c>
      <c r="T7" s="4" t="s">
        <v>92</v>
      </c>
      <c r="U7" s="4" t="s">
        <v>41</v>
      </c>
      <c r="V7" s="4" t="s">
        <v>42</v>
      </c>
      <c r="W7" s="4" t="s">
        <v>43</v>
      </c>
      <c r="X7" s="3">
        <v>45</v>
      </c>
      <c r="Y7" s="18">
        <v>17</v>
      </c>
      <c r="Z7" s="47" t="str">
        <f>TEXT(Table1[[#This Row],[Date_Sourced]],"mmm - YYYY")</f>
        <v>Jan - 2025</v>
      </c>
      <c r="AA7" s="47" t="str">
        <f>TEXT(Table1[[#This Row],[Date_Joined]],"mmm - YYYY")</f>
        <v>Feb - 2025</v>
      </c>
    </row>
    <row r="8" spans="1:27" ht="15" customHeight="1" x14ac:dyDescent="0.3">
      <c r="A8" s="15" t="s">
        <v>93</v>
      </c>
      <c r="B8" s="2" t="s">
        <v>26</v>
      </c>
      <c r="C8" s="2" t="s">
        <v>27</v>
      </c>
      <c r="D8" s="2" t="s">
        <v>94</v>
      </c>
      <c r="E8" s="2" t="s">
        <v>29</v>
      </c>
      <c r="F8" s="2" t="s">
        <v>30</v>
      </c>
      <c r="G8" s="2" t="s">
        <v>31</v>
      </c>
      <c r="H8" s="2" t="s">
        <v>95</v>
      </c>
      <c r="I8" s="1" t="s">
        <v>75</v>
      </c>
      <c r="J8" s="1" t="s">
        <v>37</v>
      </c>
      <c r="K8" s="1" t="s">
        <v>89</v>
      </c>
      <c r="L8" s="1"/>
      <c r="M8" s="1"/>
      <c r="N8" s="2" t="s">
        <v>96</v>
      </c>
      <c r="O8" s="2" t="s">
        <v>39</v>
      </c>
      <c r="P8" s="1">
        <v>2</v>
      </c>
      <c r="Q8" s="1">
        <v>3.5</v>
      </c>
      <c r="R8" s="1">
        <v>4.5</v>
      </c>
      <c r="S8" s="12">
        <v>0</v>
      </c>
      <c r="T8" s="2" t="s">
        <v>97</v>
      </c>
      <c r="U8" s="2" t="s">
        <v>55</v>
      </c>
      <c r="V8" s="2" t="s">
        <v>56</v>
      </c>
      <c r="W8" s="2" t="s">
        <v>57</v>
      </c>
      <c r="X8" s="1">
        <v>30</v>
      </c>
      <c r="Y8" s="17">
        <v>0</v>
      </c>
      <c r="Z8" s="47" t="str">
        <f>TEXT(Table1[[#This Row],[Date_Sourced]],"mmm - YYYY")</f>
        <v>Jan - 2025</v>
      </c>
      <c r="AA8" s="47" t="str">
        <f>TEXT(Table1[[#This Row],[Date_Joined]],"mmm - YYYY")</f>
        <v>Jan - 1900</v>
      </c>
    </row>
    <row r="9" spans="1:27" ht="15" customHeight="1" x14ac:dyDescent="0.3">
      <c r="A9" s="16" t="s">
        <v>98</v>
      </c>
      <c r="B9" s="4" t="s">
        <v>99</v>
      </c>
      <c r="C9" s="4" t="s">
        <v>85</v>
      </c>
      <c r="D9" s="4" t="s">
        <v>100</v>
      </c>
      <c r="E9" s="4" t="s">
        <v>71</v>
      </c>
      <c r="F9" s="4" t="s">
        <v>72</v>
      </c>
      <c r="G9" s="4" t="s">
        <v>73</v>
      </c>
      <c r="H9" s="4" t="s">
        <v>32</v>
      </c>
      <c r="I9" s="3" t="s">
        <v>37</v>
      </c>
      <c r="J9" s="3" t="s">
        <v>76</v>
      </c>
      <c r="K9" s="3" t="s">
        <v>77</v>
      </c>
      <c r="L9" s="3"/>
      <c r="M9" s="3"/>
      <c r="N9" s="4" t="s">
        <v>101</v>
      </c>
      <c r="O9" s="4" t="s">
        <v>53</v>
      </c>
      <c r="P9" s="3">
        <v>6</v>
      </c>
      <c r="Q9" s="3">
        <v>15</v>
      </c>
      <c r="R9" s="3">
        <v>18</v>
      </c>
      <c r="S9" s="13">
        <v>0</v>
      </c>
      <c r="T9" s="4" t="s">
        <v>54</v>
      </c>
      <c r="U9" s="4" t="s">
        <v>67</v>
      </c>
      <c r="V9" s="4"/>
      <c r="W9" s="4" t="s">
        <v>57</v>
      </c>
      <c r="X9" s="3">
        <v>60</v>
      </c>
      <c r="Y9" s="18">
        <v>0</v>
      </c>
      <c r="Z9" s="47" t="str">
        <f>TEXT(Table1[[#This Row],[Date_Sourced]],"mmm - YYYY")</f>
        <v>Jan - 2025</v>
      </c>
      <c r="AA9" s="47" t="str">
        <f>TEXT(Table1[[#This Row],[Date_Joined]],"mmm - YYYY")</f>
        <v>Jan - 1900</v>
      </c>
    </row>
    <row r="10" spans="1:27" ht="15" customHeight="1" x14ac:dyDescent="0.3">
      <c r="A10" s="15" t="s">
        <v>102</v>
      </c>
      <c r="B10" s="2" t="s">
        <v>45</v>
      </c>
      <c r="C10" s="2" t="s">
        <v>27</v>
      </c>
      <c r="D10" s="2" t="s">
        <v>46</v>
      </c>
      <c r="E10" s="2" t="s">
        <v>29</v>
      </c>
      <c r="F10" s="2" t="s">
        <v>47</v>
      </c>
      <c r="G10" s="2" t="s">
        <v>31</v>
      </c>
      <c r="H10" s="2" t="s">
        <v>48</v>
      </c>
      <c r="I10" s="1" t="s">
        <v>76</v>
      </c>
      <c r="J10" s="1" t="s">
        <v>103</v>
      </c>
      <c r="K10" s="1" t="s">
        <v>104</v>
      </c>
      <c r="L10" s="1" t="s">
        <v>105</v>
      </c>
      <c r="M10" s="1" t="s">
        <v>106</v>
      </c>
      <c r="N10" s="2" t="s">
        <v>107</v>
      </c>
      <c r="O10" s="2" t="s">
        <v>39</v>
      </c>
      <c r="P10" s="1">
        <v>1</v>
      </c>
      <c r="Q10" s="1">
        <v>2.5</v>
      </c>
      <c r="R10" s="1">
        <v>3</v>
      </c>
      <c r="S10" s="12">
        <v>3</v>
      </c>
      <c r="T10" s="2" t="s">
        <v>108</v>
      </c>
      <c r="U10" s="2" t="s">
        <v>41</v>
      </c>
      <c r="V10" s="2" t="s">
        <v>42</v>
      </c>
      <c r="W10" s="2" t="s">
        <v>43</v>
      </c>
      <c r="X10" s="1">
        <v>0</v>
      </c>
      <c r="Y10" s="17">
        <v>19</v>
      </c>
      <c r="Z10" s="47" t="str">
        <f>TEXT(Table1[[#This Row],[Date_Sourced]],"mmm - YYYY")</f>
        <v>Jan - 2025</v>
      </c>
      <c r="AA10" s="47" t="str">
        <f>TEXT(Table1[[#This Row],[Date_Joined]],"mmm - YYYY")</f>
        <v>Feb - 2025</v>
      </c>
    </row>
    <row r="11" spans="1:27" ht="15" customHeight="1" x14ac:dyDescent="0.3">
      <c r="A11" s="16" t="s">
        <v>109</v>
      </c>
      <c r="B11" s="4" t="s">
        <v>69</v>
      </c>
      <c r="C11" s="4" t="s">
        <v>27</v>
      </c>
      <c r="D11" s="4" t="s">
        <v>60</v>
      </c>
      <c r="E11" s="4" t="s">
        <v>61</v>
      </c>
      <c r="F11" s="4" t="s">
        <v>86</v>
      </c>
      <c r="G11" s="4" t="s">
        <v>87</v>
      </c>
      <c r="H11" s="4" t="s">
        <v>62</v>
      </c>
      <c r="I11" s="3" t="s">
        <v>89</v>
      </c>
      <c r="J11" s="3" t="s">
        <v>77</v>
      </c>
      <c r="K11" s="3" t="s">
        <v>110</v>
      </c>
      <c r="L11" s="3"/>
      <c r="M11" s="3"/>
      <c r="N11" s="4" t="s">
        <v>111</v>
      </c>
      <c r="O11" s="4" t="s">
        <v>53</v>
      </c>
      <c r="P11" s="3">
        <v>3</v>
      </c>
      <c r="Q11" s="3">
        <v>6</v>
      </c>
      <c r="R11" s="3">
        <v>7.5</v>
      </c>
      <c r="S11" s="13">
        <v>0</v>
      </c>
      <c r="T11" s="4" t="s">
        <v>40</v>
      </c>
      <c r="U11" s="4" t="s">
        <v>55</v>
      </c>
      <c r="V11" s="4" t="s">
        <v>56</v>
      </c>
      <c r="W11" s="4" t="s">
        <v>57</v>
      </c>
      <c r="X11" s="3">
        <v>30</v>
      </c>
      <c r="Y11" s="18">
        <v>0</v>
      </c>
      <c r="Z11" s="47" t="str">
        <f>TEXT(Table1[[#This Row],[Date_Sourced]],"mmm - YYYY")</f>
        <v>Jan - 2025</v>
      </c>
      <c r="AA11" s="47" t="str">
        <f>TEXT(Table1[[#This Row],[Date_Joined]],"mmm - YYYY")</f>
        <v>Jan - 1900</v>
      </c>
    </row>
    <row r="12" spans="1:27" ht="15" customHeight="1" x14ac:dyDescent="0.3">
      <c r="A12" s="15" t="s">
        <v>112</v>
      </c>
      <c r="B12" s="2" t="s">
        <v>59</v>
      </c>
      <c r="C12" s="2" t="s">
        <v>27</v>
      </c>
      <c r="D12" s="2" t="s">
        <v>28</v>
      </c>
      <c r="E12" s="2" t="s">
        <v>61</v>
      </c>
      <c r="F12" s="2" t="s">
        <v>30</v>
      </c>
      <c r="G12" s="2" t="s">
        <v>31</v>
      </c>
      <c r="H12" s="2" t="s">
        <v>32</v>
      </c>
      <c r="I12" s="1" t="s">
        <v>90</v>
      </c>
      <c r="J12" s="1" t="s">
        <v>113</v>
      </c>
      <c r="K12" s="1" t="s">
        <v>114</v>
      </c>
      <c r="L12" s="1" t="s">
        <v>115</v>
      </c>
      <c r="M12" s="1" t="s">
        <v>116</v>
      </c>
      <c r="N12" s="2" t="s">
        <v>117</v>
      </c>
      <c r="O12" s="2" t="s">
        <v>39</v>
      </c>
      <c r="P12" s="1">
        <v>4</v>
      </c>
      <c r="Q12" s="1">
        <v>7</v>
      </c>
      <c r="R12" s="1">
        <v>9</v>
      </c>
      <c r="S12" s="12">
        <v>9</v>
      </c>
      <c r="T12" s="2" t="s">
        <v>66</v>
      </c>
      <c r="U12" s="2" t="s">
        <v>41</v>
      </c>
      <c r="V12" s="2" t="s">
        <v>42</v>
      </c>
      <c r="W12" s="2" t="s">
        <v>43</v>
      </c>
      <c r="X12" s="1">
        <v>15</v>
      </c>
      <c r="Y12" s="17">
        <v>17</v>
      </c>
      <c r="Z12" s="47" t="str">
        <f>TEXT(Table1[[#This Row],[Date_Sourced]],"mmm - YYYY")</f>
        <v>Feb - 2025</v>
      </c>
      <c r="AA12" s="47" t="str">
        <f>TEXT(Table1[[#This Row],[Date_Joined]],"mmm - YYYY")</f>
        <v>Feb - 2025</v>
      </c>
    </row>
    <row r="13" spans="1:27" ht="15" customHeight="1" x14ac:dyDescent="0.3">
      <c r="A13" s="16" t="s">
        <v>118</v>
      </c>
      <c r="B13" s="4" t="s">
        <v>81</v>
      </c>
      <c r="C13" s="4" t="s">
        <v>27</v>
      </c>
      <c r="D13" s="4" t="s">
        <v>94</v>
      </c>
      <c r="E13" s="4" t="s">
        <v>29</v>
      </c>
      <c r="F13" s="4" t="s">
        <v>47</v>
      </c>
      <c r="G13" s="4" t="s">
        <v>31</v>
      </c>
      <c r="H13" s="4" t="s">
        <v>48</v>
      </c>
      <c r="I13" s="3" t="s">
        <v>110</v>
      </c>
      <c r="J13" s="3" t="s">
        <v>119</v>
      </c>
      <c r="K13" s="3" t="s">
        <v>120</v>
      </c>
      <c r="L13" s="3"/>
      <c r="M13" s="3"/>
      <c r="N13" s="4" t="s">
        <v>121</v>
      </c>
      <c r="O13" s="4" t="s">
        <v>53</v>
      </c>
      <c r="P13" s="3">
        <v>2</v>
      </c>
      <c r="Q13" s="3">
        <v>3</v>
      </c>
      <c r="R13" s="3">
        <v>4</v>
      </c>
      <c r="S13" s="13">
        <v>0</v>
      </c>
      <c r="T13" s="4" t="s">
        <v>122</v>
      </c>
      <c r="U13" s="4" t="s">
        <v>55</v>
      </c>
      <c r="V13" s="4" t="s">
        <v>56</v>
      </c>
      <c r="W13" s="4" t="s">
        <v>57</v>
      </c>
      <c r="X13" s="3">
        <v>30</v>
      </c>
      <c r="Y13" s="18">
        <v>0</v>
      </c>
      <c r="Z13" s="47" t="str">
        <f>TEXT(Table1[[#This Row],[Date_Sourced]],"mmm - YYYY")</f>
        <v>Feb - 2025</v>
      </c>
      <c r="AA13" s="47" t="str">
        <f>TEXT(Table1[[#This Row],[Date_Joined]],"mmm - YYYY")</f>
        <v>Jan - 1900</v>
      </c>
    </row>
    <row r="14" spans="1:27" ht="15" customHeight="1" x14ac:dyDescent="0.3">
      <c r="A14" s="15" t="s">
        <v>123</v>
      </c>
      <c r="B14" s="2" t="s">
        <v>26</v>
      </c>
      <c r="C14" s="2" t="s">
        <v>27</v>
      </c>
      <c r="D14" s="2" t="s">
        <v>70</v>
      </c>
      <c r="E14" s="2" t="s">
        <v>71</v>
      </c>
      <c r="F14" s="2" t="s">
        <v>72</v>
      </c>
      <c r="G14" s="2" t="s">
        <v>73</v>
      </c>
      <c r="H14" s="2" t="s">
        <v>32</v>
      </c>
      <c r="I14" s="1" t="s">
        <v>124</v>
      </c>
      <c r="J14" s="1" t="s">
        <v>125</v>
      </c>
      <c r="K14" s="1" t="s">
        <v>115</v>
      </c>
      <c r="L14" s="1" t="s">
        <v>126</v>
      </c>
      <c r="M14" s="1" t="s">
        <v>127</v>
      </c>
      <c r="N14" s="2" t="s">
        <v>128</v>
      </c>
      <c r="O14" s="2" t="s">
        <v>39</v>
      </c>
      <c r="P14" s="1">
        <v>5</v>
      </c>
      <c r="Q14" s="1">
        <v>12</v>
      </c>
      <c r="R14" s="1">
        <v>15</v>
      </c>
      <c r="S14" s="12">
        <v>14.5</v>
      </c>
      <c r="T14" s="2" t="s">
        <v>54</v>
      </c>
      <c r="U14" s="2" t="s">
        <v>41</v>
      </c>
      <c r="V14" s="2" t="s">
        <v>42</v>
      </c>
      <c r="W14" s="2" t="s">
        <v>43</v>
      </c>
      <c r="X14" s="1">
        <v>60</v>
      </c>
      <c r="Y14" s="17">
        <v>19</v>
      </c>
      <c r="Z14" s="47" t="str">
        <f>TEXT(Table1[[#This Row],[Date_Sourced]],"mmm - YYYY")</f>
        <v>Feb - 2025</v>
      </c>
      <c r="AA14" s="47" t="str">
        <f>TEXT(Table1[[#This Row],[Date_Joined]],"mmm - YYYY")</f>
        <v>Feb - 2025</v>
      </c>
    </row>
    <row r="15" spans="1:27" ht="15" customHeight="1" x14ac:dyDescent="0.3">
      <c r="A15" s="16" t="s">
        <v>129</v>
      </c>
      <c r="B15" s="4" t="s">
        <v>84</v>
      </c>
      <c r="C15" s="4" t="s">
        <v>85</v>
      </c>
      <c r="D15" s="4" t="s">
        <v>46</v>
      </c>
      <c r="E15" s="4" t="s">
        <v>61</v>
      </c>
      <c r="F15" s="4" t="s">
        <v>86</v>
      </c>
      <c r="G15" s="4" t="s">
        <v>87</v>
      </c>
      <c r="H15" s="4" t="s">
        <v>62</v>
      </c>
      <c r="I15" s="3" t="s">
        <v>125</v>
      </c>
      <c r="J15" s="3" t="s">
        <v>120</v>
      </c>
      <c r="K15" s="3" t="s">
        <v>130</v>
      </c>
      <c r="L15" s="3"/>
      <c r="M15" s="3"/>
      <c r="N15" s="4" t="s">
        <v>131</v>
      </c>
      <c r="O15" s="4" t="s">
        <v>53</v>
      </c>
      <c r="P15" s="3">
        <v>3</v>
      </c>
      <c r="Q15" s="3">
        <v>5</v>
      </c>
      <c r="R15" s="3">
        <v>6</v>
      </c>
      <c r="S15" s="13">
        <v>0</v>
      </c>
      <c r="T15" s="4" t="s">
        <v>40</v>
      </c>
      <c r="U15" s="4" t="s">
        <v>67</v>
      </c>
      <c r="V15" s="4"/>
      <c r="W15" s="4" t="s">
        <v>57</v>
      </c>
      <c r="X15" s="3">
        <v>30</v>
      </c>
      <c r="Y15" s="18">
        <v>0</v>
      </c>
      <c r="Z15" s="47" t="str">
        <f>TEXT(Table1[[#This Row],[Date_Sourced]],"mmm - YYYY")</f>
        <v>Feb - 2025</v>
      </c>
      <c r="AA15" s="47" t="str">
        <f>TEXT(Table1[[#This Row],[Date_Joined]],"mmm - YYYY")</f>
        <v>Jan - 1900</v>
      </c>
    </row>
    <row r="16" spans="1:27" ht="15" customHeight="1" x14ac:dyDescent="0.3">
      <c r="A16" s="15" t="s">
        <v>132</v>
      </c>
      <c r="B16" s="2" t="s">
        <v>45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48</v>
      </c>
      <c r="I16" s="1" t="s">
        <v>106</v>
      </c>
      <c r="J16" s="1" t="s">
        <v>115</v>
      </c>
      <c r="K16" s="1" t="s">
        <v>116</v>
      </c>
      <c r="L16" s="1" t="s">
        <v>133</v>
      </c>
      <c r="M16" s="1" t="s">
        <v>134</v>
      </c>
      <c r="N16" s="2" t="s">
        <v>135</v>
      </c>
      <c r="O16" s="2" t="s">
        <v>39</v>
      </c>
      <c r="P16" s="1">
        <v>2</v>
      </c>
      <c r="Q16" s="1">
        <v>4.5</v>
      </c>
      <c r="R16" s="1">
        <v>5.5</v>
      </c>
      <c r="S16" s="12">
        <v>5.5</v>
      </c>
      <c r="T16" s="2" t="s">
        <v>97</v>
      </c>
      <c r="U16" s="2" t="s">
        <v>41</v>
      </c>
      <c r="V16" s="2" t="s">
        <v>42</v>
      </c>
      <c r="W16" s="2" t="s">
        <v>43</v>
      </c>
      <c r="X16" s="1">
        <v>0</v>
      </c>
      <c r="Y16" s="17">
        <v>16</v>
      </c>
      <c r="Z16" s="47" t="str">
        <f>TEXT(Table1[[#This Row],[Date_Sourced]],"mmm - YYYY")</f>
        <v>Feb - 2025</v>
      </c>
      <c r="AA16" s="47" t="str">
        <f>TEXT(Table1[[#This Row],[Date_Joined]],"mmm - YYYY")</f>
        <v>Feb - 2025</v>
      </c>
    </row>
    <row r="17" spans="1:27" ht="15" customHeight="1" x14ac:dyDescent="0.3">
      <c r="A17" s="16" t="s">
        <v>136</v>
      </c>
      <c r="B17" s="4" t="s">
        <v>69</v>
      </c>
      <c r="C17" s="4" t="s">
        <v>27</v>
      </c>
      <c r="D17" s="4" t="s">
        <v>46</v>
      </c>
      <c r="E17" s="4" t="s">
        <v>29</v>
      </c>
      <c r="F17" s="4" t="s">
        <v>47</v>
      </c>
      <c r="G17" s="4" t="s">
        <v>31</v>
      </c>
      <c r="H17" s="4" t="s">
        <v>95</v>
      </c>
      <c r="I17" s="3" t="s">
        <v>137</v>
      </c>
      <c r="J17" s="3" t="s">
        <v>138</v>
      </c>
      <c r="K17" s="3" t="s">
        <v>139</v>
      </c>
      <c r="L17" s="3" t="s">
        <v>127</v>
      </c>
      <c r="M17" s="3" t="s">
        <v>140</v>
      </c>
      <c r="N17" s="4" t="s">
        <v>141</v>
      </c>
      <c r="O17" s="4" t="s">
        <v>53</v>
      </c>
      <c r="P17" s="3">
        <v>2</v>
      </c>
      <c r="Q17" s="3">
        <v>4</v>
      </c>
      <c r="R17" s="3">
        <v>5</v>
      </c>
      <c r="S17" s="13">
        <v>5</v>
      </c>
      <c r="T17" s="4" t="s">
        <v>54</v>
      </c>
      <c r="U17" s="4" t="s">
        <v>41</v>
      </c>
      <c r="V17" s="4" t="s">
        <v>42</v>
      </c>
      <c r="W17" s="4" t="s">
        <v>43</v>
      </c>
      <c r="X17" s="3">
        <v>30</v>
      </c>
      <c r="Y17" s="18">
        <v>19</v>
      </c>
      <c r="Z17" s="47" t="str">
        <f>TEXT(Table1[[#This Row],[Date_Sourced]],"mmm - YYYY")</f>
        <v>Feb - 2025</v>
      </c>
      <c r="AA17" s="47" t="str">
        <f>TEXT(Table1[[#This Row],[Date_Joined]],"mmm - YYYY")</f>
        <v>Mar - 2025</v>
      </c>
    </row>
    <row r="18" spans="1:27" ht="15" customHeight="1" x14ac:dyDescent="0.3">
      <c r="A18" s="15" t="s">
        <v>142</v>
      </c>
      <c r="B18" s="2" t="s">
        <v>59</v>
      </c>
      <c r="C18" s="2" t="s">
        <v>27</v>
      </c>
      <c r="D18" s="2" t="s">
        <v>28</v>
      </c>
      <c r="E18" s="2" t="s">
        <v>61</v>
      </c>
      <c r="F18" s="2" t="s">
        <v>30</v>
      </c>
      <c r="G18" s="2" t="s">
        <v>31</v>
      </c>
      <c r="H18" s="2" t="s">
        <v>32</v>
      </c>
      <c r="I18" s="1" t="s">
        <v>138</v>
      </c>
      <c r="J18" s="1" t="s">
        <v>116</v>
      </c>
      <c r="K18" s="1" t="s">
        <v>143</v>
      </c>
      <c r="L18" s="1"/>
      <c r="M18" s="1"/>
      <c r="N18" s="2" t="s">
        <v>144</v>
      </c>
      <c r="O18" s="2" t="s">
        <v>39</v>
      </c>
      <c r="P18" s="1">
        <v>3</v>
      </c>
      <c r="Q18" s="1">
        <v>5</v>
      </c>
      <c r="R18" s="1">
        <v>6</v>
      </c>
      <c r="S18" s="12">
        <v>0</v>
      </c>
      <c r="T18" s="2" t="s">
        <v>40</v>
      </c>
      <c r="U18" s="2" t="s">
        <v>67</v>
      </c>
      <c r="V18" s="2"/>
      <c r="W18" s="2" t="s">
        <v>57</v>
      </c>
      <c r="X18" s="1">
        <v>15</v>
      </c>
      <c r="Y18" s="17">
        <v>0</v>
      </c>
      <c r="Z18" s="47" t="str">
        <f>TEXT(Table1[[#This Row],[Date_Sourced]],"mmm - YYYY")</f>
        <v>Feb - 2025</v>
      </c>
      <c r="AA18" s="47" t="str">
        <f>TEXT(Table1[[#This Row],[Date_Joined]],"mmm - YYYY")</f>
        <v>Jan - 1900</v>
      </c>
    </row>
    <row r="19" spans="1:27" ht="15" customHeight="1" x14ac:dyDescent="0.3">
      <c r="A19" s="16" t="s">
        <v>145</v>
      </c>
      <c r="B19" s="4" t="s">
        <v>99</v>
      </c>
      <c r="C19" s="4" t="s">
        <v>85</v>
      </c>
      <c r="D19" s="4" t="s">
        <v>60</v>
      </c>
      <c r="E19" s="4" t="s">
        <v>71</v>
      </c>
      <c r="F19" s="4" t="s">
        <v>86</v>
      </c>
      <c r="G19" s="4" t="s">
        <v>87</v>
      </c>
      <c r="H19" s="4" t="s">
        <v>32</v>
      </c>
      <c r="I19" s="3" t="s">
        <v>116</v>
      </c>
      <c r="J19" s="3" t="s">
        <v>133</v>
      </c>
      <c r="K19" s="3" t="s">
        <v>134</v>
      </c>
      <c r="L19" s="3" t="s">
        <v>146</v>
      </c>
      <c r="M19" s="3" t="s">
        <v>147</v>
      </c>
      <c r="N19" s="4" t="s">
        <v>148</v>
      </c>
      <c r="O19" s="4" t="s">
        <v>53</v>
      </c>
      <c r="P19" s="3">
        <v>4</v>
      </c>
      <c r="Q19" s="3">
        <v>7.5</v>
      </c>
      <c r="R19" s="3">
        <v>9</v>
      </c>
      <c r="S19" s="13">
        <v>9</v>
      </c>
      <c r="T19" s="4" t="s">
        <v>92</v>
      </c>
      <c r="U19" s="4" t="s">
        <v>41</v>
      </c>
      <c r="V19" s="4" t="s">
        <v>42</v>
      </c>
      <c r="W19" s="4" t="s">
        <v>43</v>
      </c>
      <c r="X19" s="3">
        <v>30</v>
      </c>
      <c r="Y19" s="18">
        <v>20</v>
      </c>
      <c r="Z19" s="47" t="str">
        <f>TEXT(Table1[[#This Row],[Date_Sourced]],"mmm - YYYY")</f>
        <v>Feb - 2025</v>
      </c>
      <c r="AA19" s="47" t="str">
        <f>TEXT(Table1[[#This Row],[Date_Joined]],"mmm - YYYY")</f>
        <v>Mar - 2025</v>
      </c>
    </row>
    <row r="20" spans="1:27" ht="15" customHeight="1" x14ac:dyDescent="0.3">
      <c r="A20" s="15" t="s">
        <v>149</v>
      </c>
      <c r="B20" s="2" t="s">
        <v>81</v>
      </c>
      <c r="C20" s="2" t="s">
        <v>27</v>
      </c>
      <c r="D20" s="2" t="s">
        <v>94</v>
      </c>
      <c r="E20" s="2" t="s">
        <v>29</v>
      </c>
      <c r="F20" s="2" t="s">
        <v>30</v>
      </c>
      <c r="G20" s="2" t="s">
        <v>31</v>
      </c>
      <c r="H20" s="2" t="s">
        <v>95</v>
      </c>
      <c r="I20" s="1" t="s">
        <v>139</v>
      </c>
      <c r="J20" s="1" t="s">
        <v>143</v>
      </c>
      <c r="K20" s="1" t="s">
        <v>150</v>
      </c>
      <c r="L20" s="1"/>
      <c r="M20" s="1"/>
      <c r="N20" s="2" t="s">
        <v>151</v>
      </c>
      <c r="O20" s="2" t="s">
        <v>39</v>
      </c>
      <c r="P20" s="1">
        <v>1</v>
      </c>
      <c r="Q20" s="1">
        <v>2.5</v>
      </c>
      <c r="R20" s="1">
        <v>3.5</v>
      </c>
      <c r="S20" s="12">
        <v>0</v>
      </c>
      <c r="T20" s="2" t="s">
        <v>97</v>
      </c>
      <c r="U20" s="2" t="s">
        <v>55</v>
      </c>
      <c r="V20" s="2" t="s">
        <v>56</v>
      </c>
      <c r="W20" s="2" t="s">
        <v>57</v>
      </c>
      <c r="X20" s="1">
        <v>0</v>
      </c>
      <c r="Y20" s="17">
        <v>0</v>
      </c>
      <c r="Z20" s="47" t="str">
        <f>TEXT(Table1[[#This Row],[Date_Sourced]],"mmm - YYYY")</f>
        <v>Feb - 2025</v>
      </c>
      <c r="AA20" s="47" t="str">
        <f>TEXT(Table1[[#This Row],[Date_Joined]],"mmm - YYYY")</f>
        <v>Jan - 1900</v>
      </c>
    </row>
    <row r="21" spans="1:27" ht="15" customHeight="1" x14ac:dyDescent="0.3">
      <c r="A21" s="16" t="s">
        <v>152</v>
      </c>
      <c r="B21" s="4" t="s">
        <v>26</v>
      </c>
      <c r="C21" s="4" t="s">
        <v>27</v>
      </c>
      <c r="D21" s="4" t="s">
        <v>70</v>
      </c>
      <c r="E21" s="4" t="s">
        <v>71</v>
      </c>
      <c r="F21" s="4" t="s">
        <v>72</v>
      </c>
      <c r="G21" s="4" t="s">
        <v>73</v>
      </c>
      <c r="H21" s="4" t="s">
        <v>32</v>
      </c>
      <c r="I21" s="3" t="s">
        <v>153</v>
      </c>
      <c r="J21" s="3" t="s">
        <v>154</v>
      </c>
      <c r="K21" s="3" t="s">
        <v>146</v>
      </c>
      <c r="L21" s="3" t="s">
        <v>155</v>
      </c>
      <c r="M21" s="3" t="s">
        <v>156</v>
      </c>
      <c r="N21" s="4" t="s">
        <v>157</v>
      </c>
      <c r="O21" s="4" t="s">
        <v>53</v>
      </c>
      <c r="P21" s="3">
        <v>5</v>
      </c>
      <c r="Q21" s="3">
        <v>11</v>
      </c>
      <c r="R21" s="3">
        <v>14</v>
      </c>
      <c r="S21" s="13">
        <v>13.5</v>
      </c>
      <c r="T21" s="4" t="s">
        <v>66</v>
      </c>
      <c r="U21" s="4" t="s">
        <v>41</v>
      </c>
      <c r="V21" s="4" t="s">
        <v>42</v>
      </c>
      <c r="W21" s="4" t="s">
        <v>43</v>
      </c>
      <c r="X21" s="3">
        <v>60</v>
      </c>
      <c r="Y21" s="18">
        <v>20</v>
      </c>
      <c r="Z21" s="47" t="str">
        <f>TEXT(Table1[[#This Row],[Date_Sourced]],"mmm - YYYY")</f>
        <v>Feb - 2025</v>
      </c>
      <c r="AA21" s="47" t="str">
        <f>TEXT(Table1[[#This Row],[Date_Joined]],"mmm - YYYY")</f>
        <v>Mar - 2025</v>
      </c>
    </row>
    <row r="22" spans="1:27" ht="15" customHeight="1" x14ac:dyDescent="0.3">
      <c r="A22" s="15" t="s">
        <v>158</v>
      </c>
      <c r="B22" s="2" t="s">
        <v>45</v>
      </c>
      <c r="C22" s="2" t="s">
        <v>27</v>
      </c>
      <c r="D22" s="2" t="s">
        <v>46</v>
      </c>
      <c r="E22" s="2" t="s">
        <v>29</v>
      </c>
      <c r="F22" s="2" t="s">
        <v>47</v>
      </c>
      <c r="G22" s="2" t="s">
        <v>31</v>
      </c>
      <c r="H22" s="2" t="s">
        <v>48</v>
      </c>
      <c r="I22" s="1" t="s">
        <v>146</v>
      </c>
      <c r="J22" s="1" t="s">
        <v>159</v>
      </c>
      <c r="K22" s="1" t="s">
        <v>147</v>
      </c>
      <c r="L22" s="1"/>
      <c r="M22" s="1"/>
      <c r="N22" s="2" t="s">
        <v>160</v>
      </c>
      <c r="O22" s="2" t="s">
        <v>39</v>
      </c>
      <c r="P22" s="1">
        <v>2</v>
      </c>
      <c r="Q22" s="1">
        <v>3.5</v>
      </c>
      <c r="R22" s="1">
        <v>4.5</v>
      </c>
      <c r="S22" s="12">
        <v>0</v>
      </c>
      <c r="T22" s="2" t="s">
        <v>40</v>
      </c>
      <c r="U22" s="2" t="s">
        <v>55</v>
      </c>
      <c r="V22" s="2" t="s">
        <v>56</v>
      </c>
      <c r="W22" s="2" t="s">
        <v>57</v>
      </c>
      <c r="X22" s="1">
        <v>30</v>
      </c>
      <c r="Y22" s="17">
        <v>0</v>
      </c>
      <c r="Z22" s="47" t="str">
        <f>TEXT(Table1[[#This Row],[Date_Sourced]],"mmm - YYYY")</f>
        <v>Mar - 2025</v>
      </c>
      <c r="AA22" s="47" t="str">
        <f>TEXT(Table1[[#This Row],[Date_Joined]],"mmm - YYYY")</f>
        <v>Jan - 1900</v>
      </c>
    </row>
    <row r="23" spans="1:27" ht="15" customHeight="1" x14ac:dyDescent="0.3">
      <c r="A23" s="16" t="s">
        <v>161</v>
      </c>
      <c r="B23" s="4" t="s">
        <v>84</v>
      </c>
      <c r="C23" s="4" t="s">
        <v>85</v>
      </c>
      <c r="D23" s="4" t="s">
        <v>28</v>
      </c>
      <c r="E23" s="4" t="s">
        <v>61</v>
      </c>
      <c r="F23" s="4" t="s">
        <v>86</v>
      </c>
      <c r="G23" s="4" t="s">
        <v>87</v>
      </c>
      <c r="H23" s="4" t="s">
        <v>32</v>
      </c>
      <c r="I23" s="3" t="s">
        <v>159</v>
      </c>
      <c r="J23" s="3" t="s">
        <v>162</v>
      </c>
      <c r="K23" s="3" t="s">
        <v>163</v>
      </c>
      <c r="L23" s="3" t="s">
        <v>164</v>
      </c>
      <c r="M23" s="3" t="s">
        <v>165</v>
      </c>
      <c r="N23" s="4" t="s">
        <v>166</v>
      </c>
      <c r="O23" s="4" t="s">
        <v>53</v>
      </c>
      <c r="P23" s="3">
        <v>3</v>
      </c>
      <c r="Q23" s="3">
        <v>6</v>
      </c>
      <c r="R23" s="3">
        <v>7.5</v>
      </c>
      <c r="S23" s="13">
        <v>7.5</v>
      </c>
      <c r="T23" s="4" t="s">
        <v>54</v>
      </c>
      <c r="U23" s="4" t="s">
        <v>41</v>
      </c>
      <c r="V23" s="4" t="s">
        <v>42</v>
      </c>
      <c r="W23" s="4" t="s">
        <v>43</v>
      </c>
      <c r="X23" s="3">
        <v>15</v>
      </c>
      <c r="Y23" s="18">
        <v>19</v>
      </c>
      <c r="Z23" s="47" t="str">
        <f>TEXT(Table1[[#This Row],[Date_Sourced]],"mmm - YYYY")</f>
        <v>Mar - 2025</v>
      </c>
      <c r="AA23" s="47" t="str">
        <f>TEXT(Table1[[#This Row],[Date_Joined]],"mmm - YYYY")</f>
        <v>Mar - 2025</v>
      </c>
    </row>
    <row r="24" spans="1:27" ht="15" customHeight="1" x14ac:dyDescent="0.3">
      <c r="A24" s="15" t="s">
        <v>167</v>
      </c>
      <c r="B24" s="2" t="s">
        <v>69</v>
      </c>
      <c r="C24" s="2" t="s">
        <v>27</v>
      </c>
      <c r="D24" s="2" t="s">
        <v>100</v>
      </c>
      <c r="E24" s="2" t="s">
        <v>71</v>
      </c>
      <c r="F24" s="2" t="s">
        <v>72</v>
      </c>
      <c r="G24" s="2" t="s">
        <v>73</v>
      </c>
      <c r="H24" s="2" t="s">
        <v>32</v>
      </c>
      <c r="I24" s="1" t="s">
        <v>162</v>
      </c>
      <c r="J24" s="1" t="s">
        <v>168</v>
      </c>
      <c r="K24" s="1" t="s">
        <v>169</v>
      </c>
      <c r="L24" s="1"/>
      <c r="M24" s="1"/>
      <c r="N24" s="2" t="s">
        <v>170</v>
      </c>
      <c r="O24" s="2" t="s">
        <v>39</v>
      </c>
      <c r="P24" s="1">
        <v>4</v>
      </c>
      <c r="Q24" s="1">
        <v>11</v>
      </c>
      <c r="R24" s="1">
        <v>13</v>
      </c>
      <c r="S24" s="12">
        <v>0</v>
      </c>
      <c r="T24" s="2" t="s">
        <v>79</v>
      </c>
      <c r="U24" s="2" t="s">
        <v>67</v>
      </c>
      <c r="V24" s="2"/>
      <c r="W24" s="2" t="s">
        <v>57</v>
      </c>
      <c r="X24" s="1">
        <v>45</v>
      </c>
      <c r="Y24" s="17">
        <v>0</v>
      </c>
      <c r="Z24" s="47" t="str">
        <f>TEXT(Table1[[#This Row],[Date_Sourced]],"mmm - YYYY")</f>
        <v>Mar - 2025</v>
      </c>
      <c r="AA24" s="47" t="str">
        <f>TEXT(Table1[[#This Row],[Date_Joined]],"mmm - YYYY")</f>
        <v>Jan - 1900</v>
      </c>
    </row>
    <row r="25" spans="1:27" ht="15" customHeight="1" x14ac:dyDescent="0.3">
      <c r="A25" s="16" t="s">
        <v>171</v>
      </c>
      <c r="B25" s="4" t="s">
        <v>59</v>
      </c>
      <c r="C25" s="4" t="s">
        <v>27</v>
      </c>
      <c r="D25" s="4" t="s">
        <v>60</v>
      </c>
      <c r="E25" s="4" t="s">
        <v>61</v>
      </c>
      <c r="F25" s="4" t="s">
        <v>47</v>
      </c>
      <c r="G25" s="4" t="s">
        <v>31</v>
      </c>
      <c r="H25" s="4" t="s">
        <v>62</v>
      </c>
      <c r="I25" s="3" t="s">
        <v>147</v>
      </c>
      <c r="J25" s="3" t="s">
        <v>163</v>
      </c>
      <c r="K25" s="3" t="s">
        <v>172</v>
      </c>
      <c r="L25" s="3" t="s">
        <v>173</v>
      </c>
      <c r="M25" s="3" t="s">
        <v>174</v>
      </c>
      <c r="N25" s="4" t="s">
        <v>175</v>
      </c>
      <c r="O25" s="4" t="s">
        <v>53</v>
      </c>
      <c r="P25" s="3">
        <v>2</v>
      </c>
      <c r="Q25" s="3">
        <v>4.5</v>
      </c>
      <c r="R25" s="3">
        <v>5.5</v>
      </c>
      <c r="S25" s="3">
        <v>5.5</v>
      </c>
      <c r="T25" s="4" t="s">
        <v>40</v>
      </c>
      <c r="U25" s="4" t="s">
        <v>41</v>
      </c>
      <c r="V25" s="4" t="s">
        <v>42</v>
      </c>
      <c r="W25" s="4" t="s">
        <v>43</v>
      </c>
      <c r="X25" s="3">
        <v>0</v>
      </c>
      <c r="Y25" s="18">
        <v>18</v>
      </c>
      <c r="Z25" s="47" t="str">
        <f>TEXT(Table1[[#This Row],[Date_Sourced]],"mmm - YYYY")</f>
        <v>Mar - 2025</v>
      </c>
      <c r="AA25" s="47" t="str">
        <f>TEXT(Table1[[#This Row],[Date_Joined]],"mmm - YYYY")</f>
        <v>Mar - 2025</v>
      </c>
    </row>
    <row r="26" spans="1:27" ht="15" customHeight="1" x14ac:dyDescent="0.3">
      <c r="A26" s="15" t="s">
        <v>176</v>
      </c>
      <c r="B26" s="2" t="s">
        <v>81</v>
      </c>
      <c r="C26" s="2" t="s">
        <v>27</v>
      </c>
      <c r="D26" s="2" t="s">
        <v>94</v>
      </c>
      <c r="E26" s="2" t="s">
        <v>61</v>
      </c>
      <c r="F26" s="2" t="s">
        <v>30</v>
      </c>
      <c r="G26" s="2" t="s">
        <v>31</v>
      </c>
      <c r="H26" s="2" t="s">
        <v>48</v>
      </c>
      <c r="I26" s="1" t="s">
        <v>177</v>
      </c>
      <c r="J26" s="1" t="s">
        <v>178</v>
      </c>
      <c r="K26" s="1" t="s">
        <v>179</v>
      </c>
      <c r="L26" s="1"/>
      <c r="M26" s="1"/>
      <c r="N26" s="2" t="s">
        <v>180</v>
      </c>
      <c r="O26" s="2" t="s">
        <v>39</v>
      </c>
      <c r="P26" s="1">
        <v>3</v>
      </c>
      <c r="Q26" s="1">
        <v>4</v>
      </c>
      <c r="R26" s="1">
        <v>5</v>
      </c>
      <c r="S26" s="12">
        <v>0</v>
      </c>
      <c r="T26" s="2" t="s">
        <v>122</v>
      </c>
      <c r="U26" s="2" t="s">
        <v>55</v>
      </c>
      <c r="V26" s="2" t="s">
        <v>56</v>
      </c>
      <c r="W26" s="2" t="s">
        <v>57</v>
      </c>
      <c r="X26" s="1">
        <v>30</v>
      </c>
      <c r="Y26" s="17">
        <v>0</v>
      </c>
      <c r="Z26" s="47" t="str">
        <f>TEXT(Table1[[#This Row],[Date_Sourced]],"mmm - YYYY")</f>
        <v>Mar - 2025</v>
      </c>
      <c r="AA26" s="47" t="str">
        <f>TEXT(Table1[[#This Row],[Date_Joined]],"mmm - YYYY")</f>
        <v>Jan - 1900</v>
      </c>
    </row>
    <row r="27" spans="1:27" ht="15" customHeight="1" x14ac:dyDescent="0.3">
      <c r="A27" s="16" t="s">
        <v>181</v>
      </c>
      <c r="B27" s="4" t="s">
        <v>26</v>
      </c>
      <c r="C27" s="4" t="s">
        <v>27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32</v>
      </c>
      <c r="I27" s="3" t="s">
        <v>178</v>
      </c>
      <c r="J27" s="3" t="s">
        <v>172</v>
      </c>
      <c r="K27" s="3" t="s">
        <v>182</v>
      </c>
      <c r="L27" s="3" t="s">
        <v>183</v>
      </c>
      <c r="M27" s="3" t="s">
        <v>184</v>
      </c>
      <c r="N27" s="4" t="s">
        <v>185</v>
      </c>
      <c r="O27" s="4" t="s">
        <v>53</v>
      </c>
      <c r="P27" s="3">
        <v>2</v>
      </c>
      <c r="Q27" s="3">
        <v>4</v>
      </c>
      <c r="R27" s="3">
        <v>5</v>
      </c>
      <c r="S27" s="13">
        <v>5</v>
      </c>
      <c r="T27" s="4" t="s">
        <v>40</v>
      </c>
      <c r="U27" s="4" t="s">
        <v>41</v>
      </c>
      <c r="V27" s="4" t="s">
        <v>42</v>
      </c>
      <c r="W27" s="4" t="s">
        <v>43</v>
      </c>
      <c r="X27" s="3">
        <v>30</v>
      </c>
      <c r="Y27" s="18">
        <v>19</v>
      </c>
      <c r="Z27" s="47" t="str">
        <f>TEXT(Table1[[#This Row],[Date_Sourced]],"mmm - YYYY")</f>
        <v>Mar - 2025</v>
      </c>
      <c r="AA27" s="47" t="str">
        <f>TEXT(Table1[[#This Row],[Date_Joined]],"mmm - YYYY")</f>
        <v>Apr - 2025</v>
      </c>
    </row>
    <row r="28" spans="1:27" ht="15" customHeight="1" x14ac:dyDescent="0.3">
      <c r="A28" s="15" t="s">
        <v>186</v>
      </c>
      <c r="B28" s="2" t="s">
        <v>99</v>
      </c>
      <c r="C28" s="2" t="s">
        <v>85</v>
      </c>
      <c r="D28" s="2" t="s">
        <v>46</v>
      </c>
      <c r="E28" s="2" t="s">
        <v>61</v>
      </c>
      <c r="F28" s="2" t="s">
        <v>86</v>
      </c>
      <c r="G28" s="2" t="s">
        <v>87</v>
      </c>
      <c r="H28" s="2" t="s">
        <v>62</v>
      </c>
      <c r="I28" s="1" t="s">
        <v>172</v>
      </c>
      <c r="J28" s="1" t="s">
        <v>187</v>
      </c>
      <c r="K28" s="1" t="s">
        <v>188</v>
      </c>
      <c r="L28" s="1" t="s">
        <v>189</v>
      </c>
      <c r="M28" s="1" t="s">
        <v>190</v>
      </c>
      <c r="N28" s="2" t="s">
        <v>191</v>
      </c>
      <c r="O28" s="2" t="s">
        <v>39</v>
      </c>
      <c r="P28" s="1">
        <v>3</v>
      </c>
      <c r="Q28" s="1">
        <v>5.5</v>
      </c>
      <c r="R28" s="1">
        <v>6.5</v>
      </c>
      <c r="S28" s="12">
        <v>6.5</v>
      </c>
      <c r="T28" s="2" t="s">
        <v>92</v>
      </c>
      <c r="U28" s="2" t="s">
        <v>41</v>
      </c>
      <c r="V28" s="2" t="s">
        <v>42</v>
      </c>
      <c r="W28" s="2" t="s">
        <v>43</v>
      </c>
      <c r="X28" s="1">
        <v>15</v>
      </c>
      <c r="Y28" s="17">
        <v>19</v>
      </c>
      <c r="Z28" s="47" t="str">
        <f>TEXT(Table1[[#This Row],[Date_Sourced]],"mmm - YYYY")</f>
        <v>Mar - 2025</v>
      </c>
      <c r="AA28" s="47" t="str">
        <f>TEXT(Table1[[#This Row],[Date_Joined]],"mmm - YYYY")</f>
        <v>Apr - 2025</v>
      </c>
    </row>
    <row r="29" spans="1:27" ht="15" customHeight="1" x14ac:dyDescent="0.3">
      <c r="A29" s="16" t="s">
        <v>192</v>
      </c>
      <c r="B29" s="4" t="s">
        <v>45</v>
      </c>
      <c r="C29" s="4" t="s">
        <v>27</v>
      </c>
      <c r="D29" s="4" t="s">
        <v>70</v>
      </c>
      <c r="E29" s="4" t="s">
        <v>71</v>
      </c>
      <c r="F29" s="4" t="s">
        <v>72</v>
      </c>
      <c r="G29" s="4" t="s">
        <v>73</v>
      </c>
      <c r="H29" s="4" t="s">
        <v>32</v>
      </c>
      <c r="I29" s="3" t="s">
        <v>179</v>
      </c>
      <c r="J29" s="3" t="s">
        <v>182</v>
      </c>
      <c r="K29" s="3" t="s">
        <v>174</v>
      </c>
      <c r="L29" s="3"/>
      <c r="M29" s="3"/>
      <c r="N29" s="4" t="s">
        <v>193</v>
      </c>
      <c r="O29" s="4" t="s">
        <v>53</v>
      </c>
      <c r="P29" s="3">
        <v>5</v>
      </c>
      <c r="Q29" s="3">
        <v>12</v>
      </c>
      <c r="R29" s="3">
        <v>14</v>
      </c>
      <c r="S29" s="13">
        <v>0</v>
      </c>
      <c r="T29" s="4" t="s">
        <v>54</v>
      </c>
      <c r="U29" s="4" t="s">
        <v>67</v>
      </c>
      <c r="V29" s="4"/>
      <c r="W29" s="4" t="s">
        <v>57</v>
      </c>
      <c r="X29" s="3">
        <v>60</v>
      </c>
      <c r="Y29" s="18">
        <v>0</v>
      </c>
      <c r="Z29" s="47" t="str">
        <f>TEXT(Table1[[#This Row],[Date_Sourced]],"mmm - YYYY")</f>
        <v>Mar - 2025</v>
      </c>
      <c r="AA29" s="47" t="str">
        <f>TEXT(Table1[[#This Row],[Date_Joined]],"mmm - YYYY")</f>
        <v>Jan - 1900</v>
      </c>
    </row>
    <row r="30" spans="1:27" ht="15" customHeight="1" x14ac:dyDescent="0.3">
      <c r="A30" s="15" t="s">
        <v>194</v>
      </c>
      <c r="B30" s="2" t="s">
        <v>69</v>
      </c>
      <c r="C30" s="2" t="s">
        <v>27</v>
      </c>
      <c r="D30" s="2" t="s">
        <v>28</v>
      </c>
      <c r="E30" s="2" t="s">
        <v>29</v>
      </c>
      <c r="F30" s="2" t="s">
        <v>47</v>
      </c>
      <c r="G30" s="2" t="s">
        <v>31</v>
      </c>
      <c r="H30" s="2" t="s">
        <v>95</v>
      </c>
      <c r="I30" s="1" t="s">
        <v>173</v>
      </c>
      <c r="J30" s="1" t="s">
        <v>195</v>
      </c>
      <c r="K30" s="1" t="s">
        <v>189</v>
      </c>
      <c r="L30" s="1" t="s">
        <v>184</v>
      </c>
      <c r="M30" s="1" t="s">
        <v>196</v>
      </c>
      <c r="N30" s="2" t="s">
        <v>197</v>
      </c>
      <c r="O30" s="2" t="s">
        <v>39</v>
      </c>
      <c r="P30" s="1">
        <v>1</v>
      </c>
      <c r="Q30" s="1">
        <v>3</v>
      </c>
      <c r="R30" s="1">
        <v>4</v>
      </c>
      <c r="S30" s="12">
        <v>4</v>
      </c>
      <c r="T30" s="2" t="s">
        <v>97</v>
      </c>
      <c r="U30" s="2" t="s">
        <v>41</v>
      </c>
      <c r="V30" s="2" t="s">
        <v>42</v>
      </c>
      <c r="W30" s="2" t="s">
        <v>43</v>
      </c>
      <c r="X30" s="1">
        <v>0</v>
      </c>
      <c r="Y30" s="17">
        <v>19</v>
      </c>
      <c r="Z30" s="47" t="str">
        <f>TEXT(Table1[[#This Row],[Date_Sourced]],"mmm - YYYY")</f>
        <v>Mar - 2025</v>
      </c>
      <c r="AA30" s="47" t="str">
        <f>TEXT(Table1[[#This Row],[Date_Joined]],"mmm - YYYY")</f>
        <v>Apr - 2025</v>
      </c>
    </row>
    <row r="31" spans="1:27" ht="15" customHeight="1" x14ac:dyDescent="0.3">
      <c r="A31" s="16" t="s">
        <v>198</v>
      </c>
      <c r="B31" s="4" t="s">
        <v>59</v>
      </c>
      <c r="C31" s="4" t="s">
        <v>27</v>
      </c>
      <c r="D31" s="4" t="s">
        <v>46</v>
      </c>
      <c r="E31" s="4" t="s">
        <v>61</v>
      </c>
      <c r="F31" s="4" t="s">
        <v>30</v>
      </c>
      <c r="G31" s="4" t="s">
        <v>31</v>
      </c>
      <c r="H31" s="4" t="s">
        <v>48</v>
      </c>
      <c r="I31" s="3" t="s">
        <v>195</v>
      </c>
      <c r="J31" s="3" t="s">
        <v>174</v>
      </c>
      <c r="K31" s="3" t="s">
        <v>199</v>
      </c>
      <c r="L31" s="3"/>
      <c r="M31" s="3"/>
      <c r="N31" s="4" t="s">
        <v>200</v>
      </c>
      <c r="O31" s="4" t="s">
        <v>53</v>
      </c>
      <c r="P31" s="3">
        <v>2</v>
      </c>
      <c r="Q31" s="3">
        <v>4</v>
      </c>
      <c r="R31" s="3">
        <v>5</v>
      </c>
      <c r="S31" s="13">
        <v>0</v>
      </c>
      <c r="T31" s="4" t="s">
        <v>40</v>
      </c>
      <c r="U31" s="4" t="s">
        <v>55</v>
      </c>
      <c r="V31" s="4" t="s">
        <v>56</v>
      </c>
      <c r="W31" s="4" t="s">
        <v>57</v>
      </c>
      <c r="X31" s="3">
        <v>30</v>
      </c>
      <c r="Y31" s="18">
        <v>0</v>
      </c>
      <c r="Z31" s="47" t="str">
        <f>TEXT(Table1[[#This Row],[Date_Sourced]],"mmm - YYYY")</f>
        <v>Mar - 2025</v>
      </c>
      <c r="AA31" s="47" t="str">
        <f>TEXT(Table1[[#This Row],[Date_Joined]],"mmm - YYYY")</f>
        <v>Jan - 1900</v>
      </c>
    </row>
    <row r="32" spans="1:27" ht="15" customHeight="1" x14ac:dyDescent="0.3">
      <c r="A32" s="15" t="s">
        <v>201</v>
      </c>
      <c r="B32" s="2" t="s">
        <v>84</v>
      </c>
      <c r="C32" s="2" t="s">
        <v>85</v>
      </c>
      <c r="D32" s="2" t="s">
        <v>60</v>
      </c>
      <c r="E32" s="2" t="s">
        <v>71</v>
      </c>
      <c r="F32" s="2" t="s">
        <v>86</v>
      </c>
      <c r="G32" s="2" t="s">
        <v>87</v>
      </c>
      <c r="H32" s="2" t="s">
        <v>32</v>
      </c>
      <c r="I32" s="1" t="s">
        <v>199</v>
      </c>
      <c r="J32" s="1" t="s">
        <v>202</v>
      </c>
      <c r="K32" s="1" t="s">
        <v>196</v>
      </c>
      <c r="L32" s="1" t="s">
        <v>203</v>
      </c>
      <c r="M32" s="1" t="s">
        <v>204</v>
      </c>
      <c r="N32" s="2" t="s">
        <v>205</v>
      </c>
      <c r="O32" s="2" t="s">
        <v>39</v>
      </c>
      <c r="P32" s="1">
        <v>5</v>
      </c>
      <c r="Q32" s="1">
        <v>8</v>
      </c>
      <c r="R32" s="1">
        <v>10</v>
      </c>
      <c r="S32" s="12">
        <v>10</v>
      </c>
      <c r="T32" s="2" t="s">
        <v>79</v>
      </c>
      <c r="U32" s="2" t="s">
        <v>41</v>
      </c>
      <c r="V32" s="2" t="s">
        <v>42</v>
      </c>
      <c r="W32" s="2" t="s">
        <v>43</v>
      </c>
      <c r="X32" s="1">
        <v>45</v>
      </c>
      <c r="Y32" s="17">
        <v>19</v>
      </c>
      <c r="Z32" s="47" t="str">
        <f>TEXT(Table1[[#This Row],[Date_Sourced]],"mmm - YYYY")</f>
        <v>Apr - 2025</v>
      </c>
      <c r="AA32" s="47" t="str">
        <f>TEXT(Table1[[#This Row],[Date_Joined]],"mmm - YYYY")</f>
        <v>Apr - 2025</v>
      </c>
    </row>
    <row r="33" spans="1:27" ht="15" customHeight="1" x14ac:dyDescent="0.3">
      <c r="A33" s="16" t="s">
        <v>206</v>
      </c>
      <c r="B33" s="4" t="s">
        <v>81</v>
      </c>
      <c r="C33" s="4" t="s">
        <v>27</v>
      </c>
      <c r="D33" s="4" t="s">
        <v>28</v>
      </c>
      <c r="E33" s="4" t="s">
        <v>61</v>
      </c>
      <c r="F33" s="4" t="s">
        <v>30</v>
      </c>
      <c r="G33" s="4" t="s">
        <v>31</v>
      </c>
      <c r="H33" s="4" t="s">
        <v>32</v>
      </c>
      <c r="I33" s="3" t="s">
        <v>202</v>
      </c>
      <c r="J33" s="3" t="s">
        <v>207</v>
      </c>
      <c r="K33" s="3" t="s">
        <v>208</v>
      </c>
      <c r="L33" s="3" t="s">
        <v>209</v>
      </c>
      <c r="M33" s="3" t="s">
        <v>210</v>
      </c>
      <c r="N33" s="4" t="s">
        <v>211</v>
      </c>
      <c r="O33" s="4" t="s">
        <v>53</v>
      </c>
      <c r="P33" s="3">
        <v>3</v>
      </c>
      <c r="Q33" s="3">
        <v>5.5</v>
      </c>
      <c r="R33" s="3">
        <v>7</v>
      </c>
      <c r="S33" s="13">
        <v>7</v>
      </c>
      <c r="T33" s="4" t="s">
        <v>54</v>
      </c>
      <c r="U33" s="4" t="s">
        <v>41</v>
      </c>
      <c r="V33" s="4" t="s">
        <v>42</v>
      </c>
      <c r="W33" s="4" t="s">
        <v>43</v>
      </c>
      <c r="X33" s="3">
        <v>15</v>
      </c>
      <c r="Y33" s="18">
        <v>18</v>
      </c>
      <c r="Z33" s="47" t="str">
        <f>TEXT(Table1[[#This Row],[Date_Sourced]],"mmm - YYYY")</f>
        <v>Apr - 2025</v>
      </c>
      <c r="AA33" s="47" t="str">
        <f>TEXT(Table1[[#This Row],[Date_Joined]],"mmm - YYYY")</f>
        <v>Apr - 2025</v>
      </c>
    </row>
    <row r="34" spans="1:27" ht="15" customHeight="1" x14ac:dyDescent="0.3">
      <c r="A34" s="15" t="s">
        <v>212</v>
      </c>
      <c r="B34" s="2" t="s">
        <v>26</v>
      </c>
      <c r="C34" s="2" t="s">
        <v>27</v>
      </c>
      <c r="D34" s="2" t="s">
        <v>94</v>
      </c>
      <c r="E34" s="2" t="s">
        <v>29</v>
      </c>
      <c r="F34" s="2" t="s">
        <v>47</v>
      </c>
      <c r="G34" s="2" t="s">
        <v>31</v>
      </c>
      <c r="H34" s="2" t="s">
        <v>48</v>
      </c>
      <c r="I34" s="1" t="s">
        <v>207</v>
      </c>
      <c r="J34" s="1" t="s">
        <v>213</v>
      </c>
      <c r="K34" s="1" t="s">
        <v>214</v>
      </c>
      <c r="L34" s="1"/>
      <c r="M34" s="1"/>
      <c r="N34" s="2" t="s">
        <v>215</v>
      </c>
      <c r="O34" s="2" t="s">
        <v>39</v>
      </c>
      <c r="P34" s="1">
        <v>1</v>
      </c>
      <c r="Q34" s="1">
        <v>2.5</v>
      </c>
      <c r="R34" s="1">
        <v>3.5</v>
      </c>
      <c r="S34" s="12">
        <v>0</v>
      </c>
      <c r="T34" s="2" t="s">
        <v>122</v>
      </c>
      <c r="U34" s="2" t="s">
        <v>67</v>
      </c>
      <c r="V34" s="2"/>
      <c r="W34" s="2" t="s">
        <v>57</v>
      </c>
      <c r="X34" s="1">
        <v>30</v>
      </c>
      <c r="Y34" s="17">
        <v>0</v>
      </c>
      <c r="Z34" s="47" t="str">
        <f>TEXT(Table1[[#This Row],[Date_Sourced]],"mmm - YYYY")</f>
        <v>Apr - 2025</v>
      </c>
      <c r="AA34" s="47" t="str">
        <f>TEXT(Table1[[#This Row],[Date_Joined]],"mmm - YYYY")</f>
        <v>Jan - 1900</v>
      </c>
    </row>
    <row r="35" spans="1:27" ht="15" customHeight="1" x14ac:dyDescent="0.3">
      <c r="A35" s="16" t="s">
        <v>216</v>
      </c>
      <c r="B35" s="4" t="s">
        <v>69</v>
      </c>
      <c r="C35" s="4" t="s">
        <v>27</v>
      </c>
      <c r="D35" s="4" t="s">
        <v>70</v>
      </c>
      <c r="E35" s="4" t="s">
        <v>71</v>
      </c>
      <c r="F35" s="4" t="s">
        <v>72</v>
      </c>
      <c r="G35" s="4" t="s">
        <v>73</v>
      </c>
      <c r="H35" s="4" t="s">
        <v>32</v>
      </c>
      <c r="I35" s="3" t="s">
        <v>196</v>
      </c>
      <c r="J35" s="3" t="s">
        <v>208</v>
      </c>
      <c r="K35" s="3" t="s">
        <v>217</v>
      </c>
      <c r="L35" s="3" t="s">
        <v>218</v>
      </c>
      <c r="M35" s="3" t="s">
        <v>219</v>
      </c>
      <c r="N35" s="4" t="s">
        <v>220</v>
      </c>
      <c r="O35" s="4" t="s">
        <v>53</v>
      </c>
      <c r="P35" s="3">
        <v>6</v>
      </c>
      <c r="Q35" s="3">
        <v>13</v>
      </c>
      <c r="R35" s="3">
        <v>16</v>
      </c>
      <c r="S35" s="13">
        <v>15.5</v>
      </c>
      <c r="T35" s="4" t="s">
        <v>66</v>
      </c>
      <c r="U35" s="4" t="s">
        <v>41</v>
      </c>
      <c r="V35" s="4" t="s">
        <v>42</v>
      </c>
      <c r="W35" s="4" t="s">
        <v>43</v>
      </c>
      <c r="X35" s="3">
        <v>60</v>
      </c>
      <c r="Y35" s="18">
        <v>19</v>
      </c>
      <c r="Z35" s="47" t="str">
        <f>TEXT(Table1[[#This Row],[Date_Sourced]],"mmm - YYYY")</f>
        <v>Apr - 2025</v>
      </c>
      <c r="AA35" s="47" t="str">
        <f>TEXT(Table1[[#This Row],[Date_Joined]],"mmm - YYYY")</f>
        <v>Apr - 2025</v>
      </c>
    </row>
    <row r="36" spans="1:27" ht="15" customHeight="1" x14ac:dyDescent="0.3">
      <c r="A36" s="15" t="s">
        <v>221</v>
      </c>
      <c r="B36" s="2" t="s">
        <v>99</v>
      </c>
      <c r="C36" s="2" t="s">
        <v>85</v>
      </c>
      <c r="D36" s="2" t="s">
        <v>100</v>
      </c>
      <c r="E36" s="2" t="s">
        <v>71</v>
      </c>
      <c r="F36" s="2" t="s">
        <v>86</v>
      </c>
      <c r="G36" s="2" t="s">
        <v>87</v>
      </c>
      <c r="H36" s="2" t="s">
        <v>32</v>
      </c>
      <c r="I36" s="1" t="s">
        <v>222</v>
      </c>
      <c r="J36" s="1" t="s">
        <v>223</v>
      </c>
      <c r="K36" s="1" t="s">
        <v>224</v>
      </c>
      <c r="L36" s="1"/>
      <c r="M36" s="1"/>
      <c r="N36" s="2" t="s">
        <v>225</v>
      </c>
      <c r="O36" s="2" t="s">
        <v>39</v>
      </c>
      <c r="P36" s="1">
        <v>5</v>
      </c>
      <c r="Q36" s="1">
        <v>14</v>
      </c>
      <c r="R36" s="1">
        <v>17</v>
      </c>
      <c r="S36" s="12">
        <v>0</v>
      </c>
      <c r="T36" s="2" t="s">
        <v>92</v>
      </c>
      <c r="U36" s="2" t="s">
        <v>67</v>
      </c>
      <c r="V36" s="2"/>
      <c r="W36" s="2" t="s">
        <v>57</v>
      </c>
      <c r="X36" s="1">
        <v>30</v>
      </c>
      <c r="Y36" s="17">
        <v>0</v>
      </c>
      <c r="Z36" s="47" t="str">
        <f>TEXT(Table1[[#This Row],[Date_Sourced]],"mmm - YYYY")</f>
        <v>Apr - 2025</v>
      </c>
      <c r="AA36" s="47" t="str">
        <f>TEXT(Table1[[#This Row],[Date_Joined]],"mmm - YYYY")</f>
        <v>Jan - 1900</v>
      </c>
    </row>
    <row r="37" spans="1:27" ht="15" customHeight="1" x14ac:dyDescent="0.3">
      <c r="A37" s="16" t="s">
        <v>226</v>
      </c>
      <c r="B37" s="4" t="s">
        <v>59</v>
      </c>
      <c r="C37" s="4" t="s">
        <v>27</v>
      </c>
      <c r="D37" s="4" t="s">
        <v>46</v>
      </c>
      <c r="E37" s="4" t="s">
        <v>29</v>
      </c>
      <c r="F37" s="4" t="s">
        <v>47</v>
      </c>
      <c r="G37" s="4" t="s">
        <v>31</v>
      </c>
      <c r="H37" s="4" t="s">
        <v>95</v>
      </c>
      <c r="I37" s="3" t="s">
        <v>223</v>
      </c>
      <c r="J37" s="3" t="s">
        <v>217</v>
      </c>
      <c r="K37" s="3" t="s">
        <v>210</v>
      </c>
      <c r="L37" s="3" t="s">
        <v>227</v>
      </c>
      <c r="M37" s="3" t="s">
        <v>228</v>
      </c>
      <c r="N37" s="4" t="s">
        <v>229</v>
      </c>
      <c r="O37" s="4" t="s">
        <v>53</v>
      </c>
      <c r="P37" s="3">
        <v>1</v>
      </c>
      <c r="Q37" s="3">
        <v>3</v>
      </c>
      <c r="R37" s="3">
        <v>3.5</v>
      </c>
      <c r="S37" s="13">
        <v>3.5</v>
      </c>
      <c r="T37" s="4" t="s">
        <v>40</v>
      </c>
      <c r="U37" s="4" t="s">
        <v>41</v>
      </c>
      <c r="V37" s="4" t="s">
        <v>42</v>
      </c>
      <c r="W37" s="4" t="s">
        <v>43</v>
      </c>
      <c r="X37" s="3">
        <v>0</v>
      </c>
      <c r="Y37" s="18">
        <v>19</v>
      </c>
      <c r="Z37" s="47" t="str">
        <f>TEXT(Table1[[#This Row],[Date_Sourced]],"mmm - YYYY")</f>
        <v>Apr - 2025</v>
      </c>
      <c r="AA37" s="47" t="str">
        <f>TEXT(Table1[[#This Row],[Date_Joined]],"mmm - YYYY")</f>
        <v>May - 2025</v>
      </c>
    </row>
    <row r="38" spans="1:27" ht="15" customHeight="1" x14ac:dyDescent="0.3">
      <c r="A38" s="15" t="s">
        <v>230</v>
      </c>
      <c r="B38" s="2" t="s">
        <v>45</v>
      </c>
      <c r="C38" s="2" t="s">
        <v>27</v>
      </c>
      <c r="D38" s="2" t="s">
        <v>28</v>
      </c>
      <c r="E38" s="2" t="s">
        <v>61</v>
      </c>
      <c r="F38" s="2" t="s">
        <v>30</v>
      </c>
      <c r="G38" s="2" t="s">
        <v>31</v>
      </c>
      <c r="H38" s="2" t="s">
        <v>62</v>
      </c>
      <c r="I38" s="1" t="s">
        <v>217</v>
      </c>
      <c r="J38" s="1" t="s">
        <v>204</v>
      </c>
      <c r="K38" s="1" t="s">
        <v>231</v>
      </c>
      <c r="L38" s="1" t="s">
        <v>232</v>
      </c>
      <c r="M38" s="1" t="s">
        <v>233</v>
      </c>
      <c r="N38" s="2" t="s">
        <v>234</v>
      </c>
      <c r="O38" s="2" t="s">
        <v>39</v>
      </c>
      <c r="P38" s="1">
        <v>3</v>
      </c>
      <c r="Q38" s="1">
        <v>5</v>
      </c>
      <c r="R38" s="1">
        <v>6.5</v>
      </c>
      <c r="S38" s="12">
        <v>6.5</v>
      </c>
      <c r="T38" s="2" t="s">
        <v>54</v>
      </c>
      <c r="U38" s="2" t="s">
        <v>41</v>
      </c>
      <c r="V38" s="2" t="s">
        <v>42</v>
      </c>
      <c r="W38" s="2" t="s">
        <v>43</v>
      </c>
      <c r="X38" s="1">
        <v>15</v>
      </c>
      <c r="Y38" s="17">
        <v>19</v>
      </c>
      <c r="Z38" s="47" t="str">
        <f>TEXT(Table1[[#This Row],[Date_Sourced]],"mmm - YYYY")</f>
        <v>Apr - 2025</v>
      </c>
      <c r="AA38" s="47" t="str">
        <f>TEXT(Table1[[#This Row],[Date_Joined]],"mmm - YYYY")</f>
        <v>May - 2025</v>
      </c>
    </row>
    <row r="39" spans="1:27" ht="15" customHeight="1" x14ac:dyDescent="0.3">
      <c r="A39" s="16" t="s">
        <v>235</v>
      </c>
      <c r="B39" s="4" t="s">
        <v>84</v>
      </c>
      <c r="C39" s="4" t="s">
        <v>85</v>
      </c>
      <c r="D39" s="4" t="s">
        <v>60</v>
      </c>
      <c r="E39" s="4" t="s">
        <v>61</v>
      </c>
      <c r="F39" s="4" t="s">
        <v>86</v>
      </c>
      <c r="G39" s="4" t="s">
        <v>87</v>
      </c>
      <c r="H39" s="4" t="s">
        <v>32</v>
      </c>
      <c r="I39" s="3" t="s">
        <v>224</v>
      </c>
      <c r="J39" s="3" t="s">
        <v>210</v>
      </c>
      <c r="K39" s="3" t="s">
        <v>236</v>
      </c>
      <c r="L39" s="3"/>
      <c r="M39" s="3"/>
      <c r="N39" s="4" t="s">
        <v>237</v>
      </c>
      <c r="O39" s="4" t="s">
        <v>53</v>
      </c>
      <c r="P39" s="3">
        <v>4</v>
      </c>
      <c r="Q39" s="3">
        <v>6.5</v>
      </c>
      <c r="R39" s="3">
        <v>8.5</v>
      </c>
      <c r="S39" s="13">
        <v>0</v>
      </c>
      <c r="T39" s="4" t="s">
        <v>79</v>
      </c>
      <c r="U39" s="4" t="s">
        <v>55</v>
      </c>
      <c r="V39" s="4" t="s">
        <v>56</v>
      </c>
      <c r="W39" s="4" t="s">
        <v>57</v>
      </c>
      <c r="X39" s="3">
        <v>45</v>
      </c>
      <c r="Y39" s="18">
        <v>0</v>
      </c>
      <c r="Z39" s="47" t="str">
        <f>TEXT(Table1[[#This Row],[Date_Sourced]],"mmm - YYYY")</f>
        <v>Apr - 2025</v>
      </c>
      <c r="AA39" s="47" t="str">
        <f>TEXT(Table1[[#This Row],[Date_Joined]],"mmm - YYYY")</f>
        <v>Jan - 1900</v>
      </c>
    </row>
    <row r="40" spans="1:27" ht="15" customHeight="1" x14ac:dyDescent="0.3">
      <c r="A40" s="15" t="s">
        <v>238</v>
      </c>
      <c r="B40" s="2" t="s">
        <v>81</v>
      </c>
      <c r="C40" s="2" t="s">
        <v>27</v>
      </c>
      <c r="D40" s="2" t="s">
        <v>70</v>
      </c>
      <c r="E40" s="2" t="s">
        <v>71</v>
      </c>
      <c r="F40" s="2" t="s">
        <v>72</v>
      </c>
      <c r="G40" s="2" t="s">
        <v>73</v>
      </c>
      <c r="H40" s="2" t="s">
        <v>32</v>
      </c>
      <c r="I40" s="1" t="s">
        <v>218</v>
      </c>
      <c r="J40" s="1" t="s">
        <v>239</v>
      </c>
      <c r="K40" s="1" t="s">
        <v>232</v>
      </c>
      <c r="L40" s="1" t="s">
        <v>228</v>
      </c>
      <c r="M40" s="1" t="s">
        <v>240</v>
      </c>
      <c r="N40" s="2" t="s">
        <v>241</v>
      </c>
      <c r="O40" s="2" t="s">
        <v>39</v>
      </c>
      <c r="P40" s="1">
        <v>5</v>
      </c>
      <c r="Q40" s="1">
        <v>11</v>
      </c>
      <c r="R40" s="1">
        <v>14</v>
      </c>
      <c r="S40" s="12">
        <v>13.5</v>
      </c>
      <c r="T40" s="2" t="s">
        <v>66</v>
      </c>
      <c r="U40" s="2" t="s">
        <v>41</v>
      </c>
      <c r="V40" s="2" t="s">
        <v>42</v>
      </c>
      <c r="W40" s="2" t="s">
        <v>43</v>
      </c>
      <c r="X40" s="1">
        <v>30</v>
      </c>
      <c r="Y40" s="17">
        <v>20</v>
      </c>
      <c r="Z40" s="47" t="str">
        <f>TEXT(Table1[[#This Row],[Date_Sourced]],"mmm - YYYY")</f>
        <v>Apr - 2025</v>
      </c>
      <c r="AA40" s="47" t="str">
        <f>TEXT(Table1[[#This Row],[Date_Joined]],"mmm - YYYY")</f>
        <v>May - 2025</v>
      </c>
    </row>
    <row r="41" spans="1:27" ht="15" customHeight="1" x14ac:dyDescent="0.3">
      <c r="A41" s="16" t="s">
        <v>242</v>
      </c>
      <c r="B41" s="4" t="s">
        <v>26</v>
      </c>
      <c r="C41" s="4" t="s">
        <v>27</v>
      </c>
      <c r="D41" s="4" t="s">
        <v>94</v>
      </c>
      <c r="E41" s="4" t="s">
        <v>29</v>
      </c>
      <c r="F41" s="4" t="s">
        <v>47</v>
      </c>
      <c r="G41" s="4" t="s">
        <v>31</v>
      </c>
      <c r="H41" s="4" t="s">
        <v>48</v>
      </c>
      <c r="I41" s="3" t="s">
        <v>239</v>
      </c>
      <c r="J41" s="3" t="s">
        <v>236</v>
      </c>
      <c r="K41" s="3" t="s">
        <v>243</v>
      </c>
      <c r="L41" s="3"/>
      <c r="M41" s="3"/>
      <c r="N41" s="4" t="s">
        <v>244</v>
      </c>
      <c r="O41" s="4" t="s">
        <v>53</v>
      </c>
      <c r="P41" s="3">
        <v>2</v>
      </c>
      <c r="Q41" s="3">
        <v>3</v>
      </c>
      <c r="R41" s="3">
        <v>4</v>
      </c>
      <c r="S41" s="13">
        <v>0</v>
      </c>
      <c r="T41" s="4" t="s">
        <v>97</v>
      </c>
      <c r="U41" s="4" t="s">
        <v>55</v>
      </c>
      <c r="V41" s="4" t="s">
        <v>56</v>
      </c>
      <c r="W41" s="4" t="s">
        <v>57</v>
      </c>
      <c r="X41" s="3">
        <v>0</v>
      </c>
      <c r="Y41" s="18">
        <v>0</v>
      </c>
      <c r="Z41" s="47" t="str">
        <f>TEXT(Table1[[#This Row],[Date_Sourced]],"mmm - YYYY")</f>
        <v>Apr - 2025</v>
      </c>
      <c r="AA41" s="47" t="str">
        <f>TEXT(Table1[[#This Row],[Date_Joined]],"mmm - YYYY")</f>
        <v>Jan - 1900</v>
      </c>
    </row>
    <row r="42" spans="1:27" ht="15" customHeight="1" x14ac:dyDescent="0.3">
      <c r="A42" s="15" t="s">
        <v>245</v>
      </c>
      <c r="B42" s="2" t="s">
        <v>69</v>
      </c>
      <c r="C42" s="2" t="s">
        <v>27</v>
      </c>
      <c r="D42" s="2" t="s">
        <v>28</v>
      </c>
      <c r="E42" s="2" t="s">
        <v>61</v>
      </c>
      <c r="F42" s="2" t="s">
        <v>30</v>
      </c>
      <c r="G42" s="2" t="s">
        <v>31</v>
      </c>
      <c r="H42" s="2" t="s">
        <v>32</v>
      </c>
      <c r="I42" s="1" t="s">
        <v>246</v>
      </c>
      <c r="J42" s="1" t="s">
        <v>247</v>
      </c>
      <c r="K42" s="1" t="s">
        <v>248</v>
      </c>
      <c r="L42" s="1" t="s">
        <v>249</v>
      </c>
      <c r="M42" s="1" t="s">
        <v>250</v>
      </c>
      <c r="N42" s="2" t="s">
        <v>251</v>
      </c>
      <c r="O42" s="2" t="s">
        <v>53</v>
      </c>
      <c r="P42" s="1">
        <v>3</v>
      </c>
      <c r="Q42" s="1">
        <v>5</v>
      </c>
      <c r="R42" s="1">
        <v>6.5</v>
      </c>
      <c r="S42" s="12">
        <v>6.5</v>
      </c>
      <c r="T42" s="2" t="s">
        <v>40</v>
      </c>
      <c r="U42" s="2" t="s">
        <v>41</v>
      </c>
      <c r="V42" s="2" t="s">
        <v>42</v>
      </c>
      <c r="W42" s="2" t="s">
        <v>43</v>
      </c>
      <c r="X42" s="1">
        <v>30</v>
      </c>
      <c r="Y42" s="17">
        <v>18</v>
      </c>
      <c r="Z42" s="47" t="str">
        <f>TEXT(Table1[[#This Row],[Date_Sourced]],"mmm - YYYY")</f>
        <v>May - 2025</v>
      </c>
      <c r="AA42" s="47" t="str">
        <f>TEXT(Table1[[#This Row],[Date_Joined]],"mmm - YYYY")</f>
        <v>May - 2025</v>
      </c>
    </row>
    <row r="43" spans="1:27" ht="15" customHeight="1" x14ac:dyDescent="0.3">
      <c r="A43" s="16" t="s">
        <v>252</v>
      </c>
      <c r="B43" s="4" t="s">
        <v>59</v>
      </c>
      <c r="C43" s="4" t="s">
        <v>27</v>
      </c>
      <c r="D43" s="4" t="s">
        <v>46</v>
      </c>
      <c r="E43" s="4" t="s">
        <v>29</v>
      </c>
      <c r="F43" s="4" t="s">
        <v>47</v>
      </c>
      <c r="G43" s="4" t="s">
        <v>31</v>
      </c>
      <c r="H43" s="4" t="s">
        <v>48</v>
      </c>
      <c r="I43" s="3" t="s">
        <v>247</v>
      </c>
      <c r="J43" s="3" t="s">
        <v>253</v>
      </c>
      <c r="K43" s="3" t="s">
        <v>254</v>
      </c>
      <c r="L43" s="3"/>
      <c r="M43" s="3"/>
      <c r="N43" s="4" t="s">
        <v>255</v>
      </c>
      <c r="O43" s="4" t="s">
        <v>39</v>
      </c>
      <c r="P43" s="3">
        <v>1</v>
      </c>
      <c r="Q43" s="3">
        <v>2.5</v>
      </c>
      <c r="R43" s="3">
        <v>3.5</v>
      </c>
      <c r="S43" s="13">
        <v>0</v>
      </c>
      <c r="T43" s="4" t="s">
        <v>108</v>
      </c>
      <c r="U43" s="4" t="s">
        <v>67</v>
      </c>
      <c r="V43" s="4"/>
      <c r="W43" s="4" t="s">
        <v>57</v>
      </c>
      <c r="X43" s="3">
        <v>0</v>
      </c>
      <c r="Y43" s="18">
        <v>0</v>
      </c>
      <c r="Z43" s="47" t="str">
        <f>TEXT(Table1[[#This Row],[Date_Sourced]],"mmm - YYYY")</f>
        <v>May - 2025</v>
      </c>
      <c r="AA43" s="47" t="str">
        <f>TEXT(Table1[[#This Row],[Date_Joined]],"mmm - YYYY")</f>
        <v>Jan - 1900</v>
      </c>
    </row>
    <row r="44" spans="1:27" ht="15" customHeight="1" x14ac:dyDescent="0.3">
      <c r="A44" s="15" t="s">
        <v>256</v>
      </c>
      <c r="B44" s="2" t="s">
        <v>99</v>
      </c>
      <c r="C44" s="2" t="s">
        <v>85</v>
      </c>
      <c r="D44" s="2" t="s">
        <v>257</v>
      </c>
      <c r="E44" s="2" t="s">
        <v>71</v>
      </c>
      <c r="F44" s="2" t="s">
        <v>86</v>
      </c>
      <c r="G44" s="2" t="s">
        <v>87</v>
      </c>
      <c r="H44" s="2" t="s">
        <v>32</v>
      </c>
      <c r="I44" s="1" t="s">
        <v>253</v>
      </c>
      <c r="J44" s="1" t="s">
        <v>258</v>
      </c>
      <c r="K44" s="1" t="s">
        <v>259</v>
      </c>
      <c r="L44" s="1" t="s">
        <v>250</v>
      </c>
      <c r="M44" s="1" t="s">
        <v>260</v>
      </c>
      <c r="N44" s="2" t="s">
        <v>261</v>
      </c>
      <c r="O44" s="2" t="s">
        <v>53</v>
      </c>
      <c r="P44" s="1">
        <v>6</v>
      </c>
      <c r="Q44" s="1">
        <v>14</v>
      </c>
      <c r="R44" s="1">
        <v>18</v>
      </c>
      <c r="S44" s="12">
        <v>17</v>
      </c>
      <c r="T44" s="2" t="s">
        <v>92</v>
      </c>
      <c r="U44" s="2" t="s">
        <v>41</v>
      </c>
      <c r="V44" s="2" t="s">
        <v>42</v>
      </c>
      <c r="W44" s="2" t="s">
        <v>43</v>
      </c>
      <c r="X44" s="1">
        <v>60</v>
      </c>
      <c r="Y44" s="17">
        <v>20</v>
      </c>
      <c r="Z44" s="47" t="str">
        <f>TEXT(Table1[[#This Row],[Date_Sourced]],"mmm - YYYY")</f>
        <v>May - 2025</v>
      </c>
      <c r="AA44" s="47" t="str">
        <f>TEXT(Table1[[#This Row],[Date_Joined]],"mmm - YYYY")</f>
        <v>May - 2025</v>
      </c>
    </row>
    <row r="45" spans="1:27" ht="15" customHeight="1" x14ac:dyDescent="0.3">
      <c r="A45" s="16" t="s">
        <v>262</v>
      </c>
      <c r="B45" s="4" t="s">
        <v>45</v>
      </c>
      <c r="C45" s="4" t="s">
        <v>27</v>
      </c>
      <c r="D45" s="4" t="s">
        <v>70</v>
      </c>
      <c r="E45" s="4" t="s">
        <v>71</v>
      </c>
      <c r="F45" s="4" t="s">
        <v>72</v>
      </c>
      <c r="G45" s="4" t="s">
        <v>73</v>
      </c>
      <c r="H45" s="4" t="s">
        <v>62</v>
      </c>
      <c r="I45" s="3" t="s">
        <v>248</v>
      </c>
      <c r="J45" s="3" t="s">
        <v>254</v>
      </c>
      <c r="K45" s="3" t="s">
        <v>263</v>
      </c>
      <c r="L45" s="3" t="s">
        <v>264</v>
      </c>
      <c r="M45" s="3" t="s">
        <v>265</v>
      </c>
      <c r="N45" s="4" t="s">
        <v>266</v>
      </c>
      <c r="O45" s="4" t="s">
        <v>39</v>
      </c>
      <c r="P45" s="3">
        <v>5</v>
      </c>
      <c r="Q45" s="3">
        <v>11.5</v>
      </c>
      <c r="R45" s="3">
        <v>14</v>
      </c>
      <c r="S45" s="13">
        <v>13.5</v>
      </c>
      <c r="T45" s="4" t="s">
        <v>79</v>
      </c>
      <c r="U45" s="4" t="s">
        <v>41</v>
      </c>
      <c r="V45" s="4" t="s">
        <v>42</v>
      </c>
      <c r="W45" s="4" t="s">
        <v>43</v>
      </c>
      <c r="X45" s="3">
        <v>45</v>
      </c>
      <c r="Y45" s="18">
        <v>20</v>
      </c>
      <c r="Z45" s="47" t="str">
        <f>TEXT(Table1[[#This Row],[Date_Sourced]],"mmm - YYYY")</f>
        <v>May - 2025</v>
      </c>
      <c r="AA45" s="47" t="str">
        <f>TEXT(Table1[[#This Row],[Date_Joined]],"mmm - YYYY")</f>
        <v>May - 2025</v>
      </c>
    </row>
    <row r="46" spans="1:27" ht="15" customHeight="1" x14ac:dyDescent="0.3">
      <c r="A46" s="15" t="s">
        <v>267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31</v>
      </c>
      <c r="H46" s="2" t="s">
        <v>95</v>
      </c>
      <c r="I46" s="1" t="s">
        <v>240</v>
      </c>
      <c r="J46" s="1" t="s">
        <v>268</v>
      </c>
      <c r="K46" s="1" t="s">
        <v>250</v>
      </c>
      <c r="L46" s="1"/>
      <c r="M46" s="1"/>
      <c r="N46" s="2" t="s">
        <v>269</v>
      </c>
      <c r="O46" s="2" t="s">
        <v>53</v>
      </c>
      <c r="P46" s="1">
        <v>2</v>
      </c>
      <c r="Q46" s="1">
        <v>3.5</v>
      </c>
      <c r="R46" s="1">
        <v>5</v>
      </c>
      <c r="S46" s="12">
        <v>0</v>
      </c>
      <c r="T46" s="2" t="s">
        <v>122</v>
      </c>
      <c r="U46" s="2" t="s">
        <v>55</v>
      </c>
      <c r="V46" s="2" t="s">
        <v>56</v>
      </c>
      <c r="W46" s="2" t="s">
        <v>57</v>
      </c>
      <c r="X46" s="1">
        <v>15</v>
      </c>
      <c r="Y46" s="17">
        <v>0</v>
      </c>
      <c r="Z46" s="47" t="str">
        <f>TEXT(Table1[[#This Row],[Date_Sourced]],"mmm - YYYY")</f>
        <v>May - 2025</v>
      </c>
      <c r="AA46" s="47" t="str">
        <f>TEXT(Table1[[#This Row],[Date_Joined]],"mmm - YYYY")</f>
        <v>Jan - 1900</v>
      </c>
    </row>
    <row r="47" spans="1:27" ht="15" customHeight="1" x14ac:dyDescent="0.3">
      <c r="A47" s="16" t="s">
        <v>270</v>
      </c>
      <c r="B47" s="4" t="s">
        <v>81</v>
      </c>
      <c r="C47" s="4" t="s">
        <v>27</v>
      </c>
      <c r="D47" s="4" t="s">
        <v>60</v>
      </c>
      <c r="E47" s="4" t="s">
        <v>61</v>
      </c>
      <c r="F47" s="4" t="s">
        <v>86</v>
      </c>
      <c r="G47" s="4" t="s">
        <v>87</v>
      </c>
      <c r="H47" s="4" t="s">
        <v>32</v>
      </c>
      <c r="I47" s="3" t="s">
        <v>268</v>
      </c>
      <c r="J47" s="3" t="s">
        <v>263</v>
      </c>
      <c r="K47" s="3" t="s">
        <v>271</v>
      </c>
      <c r="L47" s="3" t="s">
        <v>272</v>
      </c>
      <c r="M47" s="3" t="s">
        <v>273</v>
      </c>
      <c r="N47" s="4" t="s">
        <v>274</v>
      </c>
      <c r="O47" s="4" t="s">
        <v>39</v>
      </c>
      <c r="P47" s="3">
        <v>3</v>
      </c>
      <c r="Q47" s="3">
        <v>6</v>
      </c>
      <c r="R47" s="3">
        <v>8</v>
      </c>
      <c r="S47" s="13">
        <v>8</v>
      </c>
      <c r="T47" s="4" t="s">
        <v>54</v>
      </c>
      <c r="U47" s="4" t="s">
        <v>41</v>
      </c>
      <c r="V47" s="4" t="s">
        <v>42</v>
      </c>
      <c r="W47" s="4" t="s">
        <v>43</v>
      </c>
      <c r="X47" s="3">
        <v>30</v>
      </c>
      <c r="Y47" s="18">
        <v>19</v>
      </c>
      <c r="Z47" s="47" t="str">
        <f>TEXT(Table1[[#This Row],[Date_Sourced]],"mmm - YYYY")</f>
        <v>May - 2025</v>
      </c>
      <c r="AA47" s="47" t="str">
        <f>TEXT(Table1[[#This Row],[Date_Joined]],"mmm - YYYY")</f>
        <v>Jun - 2025</v>
      </c>
    </row>
    <row r="48" spans="1:27" ht="15" customHeight="1" x14ac:dyDescent="0.3">
      <c r="A48" s="15" t="s">
        <v>275</v>
      </c>
      <c r="B48" s="2" t="s">
        <v>69</v>
      </c>
      <c r="C48" s="2" t="s">
        <v>27</v>
      </c>
      <c r="D48" s="2" t="s">
        <v>46</v>
      </c>
      <c r="E48" s="2" t="s">
        <v>61</v>
      </c>
      <c r="F48" s="2" t="s">
        <v>47</v>
      </c>
      <c r="G48" s="2" t="s">
        <v>31</v>
      </c>
      <c r="H48" s="2" t="s">
        <v>48</v>
      </c>
      <c r="I48" s="1" t="s">
        <v>263</v>
      </c>
      <c r="J48" s="1" t="s">
        <v>276</v>
      </c>
      <c r="K48" s="1" t="s">
        <v>277</v>
      </c>
      <c r="L48" s="1"/>
      <c r="M48" s="1"/>
      <c r="N48" s="2" t="s">
        <v>278</v>
      </c>
      <c r="O48" s="2" t="s">
        <v>53</v>
      </c>
      <c r="P48" s="1">
        <v>3</v>
      </c>
      <c r="Q48" s="1">
        <v>5</v>
      </c>
      <c r="R48" s="1">
        <v>6</v>
      </c>
      <c r="S48" s="12">
        <v>0</v>
      </c>
      <c r="T48" s="2" t="s">
        <v>40</v>
      </c>
      <c r="U48" s="2" t="s">
        <v>67</v>
      </c>
      <c r="V48" s="2"/>
      <c r="W48" s="2" t="s">
        <v>57</v>
      </c>
      <c r="X48" s="1">
        <v>30</v>
      </c>
      <c r="Y48" s="17">
        <v>0</v>
      </c>
      <c r="Z48" s="47" t="str">
        <f>TEXT(Table1[[#This Row],[Date_Sourced]],"mmm - YYYY")</f>
        <v>May - 2025</v>
      </c>
      <c r="AA48" s="47" t="str">
        <f>TEXT(Table1[[#This Row],[Date_Joined]],"mmm - YYYY")</f>
        <v>Jan - 1900</v>
      </c>
    </row>
    <row r="49" spans="1:27" ht="15" customHeight="1" x14ac:dyDescent="0.3">
      <c r="A49" s="16" t="s">
        <v>279</v>
      </c>
      <c r="B49" s="4" t="s">
        <v>84</v>
      </c>
      <c r="C49" s="4" t="s">
        <v>85</v>
      </c>
      <c r="D49" s="4" t="s">
        <v>28</v>
      </c>
      <c r="E49" s="4" t="s">
        <v>71</v>
      </c>
      <c r="F49" s="4" t="s">
        <v>86</v>
      </c>
      <c r="G49" s="4" t="s">
        <v>87</v>
      </c>
      <c r="H49" s="4" t="s">
        <v>32</v>
      </c>
      <c r="I49" s="3" t="s">
        <v>250</v>
      </c>
      <c r="J49" s="3" t="s">
        <v>271</v>
      </c>
      <c r="K49" s="3" t="s">
        <v>260</v>
      </c>
      <c r="L49" s="3" t="s">
        <v>280</v>
      </c>
      <c r="M49" s="3" t="s">
        <v>281</v>
      </c>
      <c r="N49" s="4" t="s">
        <v>282</v>
      </c>
      <c r="O49" s="4" t="s">
        <v>39</v>
      </c>
      <c r="P49" s="3">
        <v>5</v>
      </c>
      <c r="Q49" s="3">
        <v>8.5</v>
      </c>
      <c r="R49" s="3">
        <v>11</v>
      </c>
      <c r="S49" s="13">
        <v>11</v>
      </c>
      <c r="T49" s="4" t="s">
        <v>92</v>
      </c>
      <c r="U49" s="4" t="s">
        <v>41</v>
      </c>
      <c r="V49" s="4" t="s">
        <v>42</v>
      </c>
      <c r="W49" s="4" t="s">
        <v>43</v>
      </c>
      <c r="X49" s="3">
        <v>15</v>
      </c>
      <c r="Y49" s="18">
        <v>19</v>
      </c>
      <c r="Z49" s="47" t="str">
        <f>TEXT(Table1[[#This Row],[Date_Sourced]],"mmm - YYYY")</f>
        <v>May - 2025</v>
      </c>
      <c r="AA49" s="47" t="str">
        <f>TEXT(Table1[[#This Row],[Date_Joined]],"mmm - YYYY")</f>
        <v>Jun - 2025</v>
      </c>
    </row>
    <row r="50" spans="1:27" ht="15" customHeight="1" x14ac:dyDescent="0.3">
      <c r="A50" s="15" t="s">
        <v>283</v>
      </c>
      <c r="B50" s="2" t="s">
        <v>59</v>
      </c>
      <c r="C50" s="2" t="s">
        <v>27</v>
      </c>
      <c r="D50" s="2" t="s">
        <v>94</v>
      </c>
      <c r="E50" s="2" t="s">
        <v>29</v>
      </c>
      <c r="F50" s="2" t="s">
        <v>30</v>
      </c>
      <c r="G50" s="2" t="s">
        <v>31</v>
      </c>
      <c r="H50" s="2" t="s">
        <v>95</v>
      </c>
      <c r="I50" s="1" t="s">
        <v>264</v>
      </c>
      <c r="J50" s="1" t="s">
        <v>284</v>
      </c>
      <c r="K50" s="1" t="s">
        <v>265</v>
      </c>
      <c r="L50" s="1"/>
      <c r="M50" s="1"/>
      <c r="N50" s="2" t="s">
        <v>285</v>
      </c>
      <c r="O50" s="2" t="s">
        <v>53</v>
      </c>
      <c r="P50" s="1">
        <v>1</v>
      </c>
      <c r="Q50" s="1">
        <v>2</v>
      </c>
      <c r="R50" s="1">
        <v>3.5</v>
      </c>
      <c r="S50" s="12">
        <v>0</v>
      </c>
      <c r="T50" s="2" t="s">
        <v>97</v>
      </c>
      <c r="U50" s="2" t="s">
        <v>55</v>
      </c>
      <c r="V50" s="2" t="s">
        <v>56</v>
      </c>
      <c r="W50" s="2" t="s">
        <v>57</v>
      </c>
      <c r="X50" s="1">
        <v>0</v>
      </c>
      <c r="Y50" s="17">
        <v>0</v>
      </c>
      <c r="Z50" s="47" t="str">
        <f>TEXT(Table1[[#This Row],[Date_Sourced]],"mmm - YYYY")</f>
        <v>May - 2025</v>
      </c>
      <c r="AA50" s="47" t="str">
        <f>TEXT(Table1[[#This Row],[Date_Joined]],"mmm - YYYY")</f>
        <v>Jan - 1900</v>
      </c>
    </row>
    <row r="51" spans="1:27" ht="15" customHeight="1" x14ac:dyDescent="0.3">
      <c r="A51" s="22" t="s">
        <v>286</v>
      </c>
      <c r="B51" s="23" t="s">
        <v>26</v>
      </c>
      <c r="C51" s="23" t="s">
        <v>27</v>
      </c>
      <c r="D51" s="23" t="s">
        <v>28</v>
      </c>
      <c r="E51" s="23" t="s">
        <v>61</v>
      </c>
      <c r="F51" s="23" t="s">
        <v>30</v>
      </c>
      <c r="G51" s="23" t="s">
        <v>31</v>
      </c>
      <c r="H51" s="23" t="s">
        <v>32</v>
      </c>
      <c r="I51" s="24" t="s">
        <v>284</v>
      </c>
      <c r="J51" s="24" t="s">
        <v>260</v>
      </c>
      <c r="K51" s="24" t="s">
        <v>287</v>
      </c>
      <c r="L51" s="24" t="s">
        <v>288</v>
      </c>
      <c r="M51" s="24" t="s">
        <v>289</v>
      </c>
      <c r="N51" s="23" t="s">
        <v>290</v>
      </c>
      <c r="O51" s="23" t="s">
        <v>39</v>
      </c>
      <c r="P51" s="24">
        <v>4</v>
      </c>
      <c r="Q51" s="24">
        <v>6</v>
      </c>
      <c r="R51" s="24">
        <v>8</v>
      </c>
      <c r="S51" s="29">
        <v>8</v>
      </c>
      <c r="T51" s="23" t="s">
        <v>40</v>
      </c>
      <c r="U51" s="23" t="s">
        <v>41</v>
      </c>
      <c r="V51" s="23" t="s">
        <v>42</v>
      </c>
      <c r="W51" s="23" t="s">
        <v>43</v>
      </c>
      <c r="X51" s="24">
        <v>30</v>
      </c>
      <c r="Y51" s="25">
        <v>18</v>
      </c>
      <c r="Z51" s="47" t="str">
        <f>TEXT(Table1[[#This Row],[Date_Sourced]],"mmm - YYYY")</f>
        <v>May - 2025</v>
      </c>
      <c r="AA51" s="47" t="str">
        <f>TEXT(Table1[[#This Row],[Date_Joined]],"mmm - YYYY")</f>
        <v>Jun - 2025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45"/>
  <sheetViews>
    <sheetView tabSelected="1" topLeftCell="A34" zoomScaleNormal="100" workbookViewId="0">
      <selection activeCell="H8" sqref="H8"/>
    </sheetView>
  </sheetViews>
  <sheetFormatPr defaultColWidth="8.6640625" defaultRowHeight="14.4" x14ac:dyDescent="0.3"/>
  <cols>
    <col min="1" max="1" width="4" customWidth="1"/>
    <col min="2" max="2" width="24" customWidth="1"/>
    <col min="3" max="3" width="20" customWidth="1"/>
    <col min="4" max="6" width="16" customWidth="1"/>
    <col min="7" max="7" width="14.5546875" customWidth="1"/>
    <col min="8" max="9" width="16" customWidth="1"/>
  </cols>
  <sheetData>
    <row r="1" spans="1:9" ht="39.75" customHeight="1" x14ac:dyDescent="0.3">
      <c r="A1" s="36" t="s">
        <v>335</v>
      </c>
      <c r="B1" s="36"/>
      <c r="C1" s="36"/>
      <c r="D1" s="36"/>
      <c r="E1" s="36"/>
      <c r="F1" s="36"/>
      <c r="G1" s="36"/>
      <c r="H1" s="36"/>
      <c r="I1" s="36"/>
    </row>
    <row r="3" spans="1:9" ht="21.75" customHeight="1" x14ac:dyDescent="0.3">
      <c r="B3" s="42" t="s">
        <v>293</v>
      </c>
      <c r="C3" s="42"/>
      <c r="D3" s="42"/>
      <c r="E3" s="42"/>
      <c r="F3" s="42"/>
      <c r="G3" s="42"/>
      <c r="H3" s="42"/>
      <c r="I3" s="42"/>
    </row>
    <row r="4" spans="1:9" ht="21.75" customHeight="1" x14ac:dyDescent="0.3">
      <c r="B4" s="5" t="s">
        <v>294</v>
      </c>
      <c r="C4" s="27" t="s">
        <v>295</v>
      </c>
      <c r="D4" s="5"/>
      <c r="E4" s="5"/>
      <c r="F4" s="5"/>
      <c r="G4" s="5"/>
    </row>
    <row r="5" spans="1:9" ht="21.75" customHeight="1" x14ac:dyDescent="0.3">
      <c r="B5" s="6" t="s">
        <v>291</v>
      </c>
      <c r="C5" s="8">
        <f>COUNTA(Raw_Data!A2:A51)</f>
        <v>50</v>
      </c>
      <c r="D5" s="6"/>
    </row>
    <row r="6" spans="1:9" ht="21.75" customHeight="1" x14ac:dyDescent="0.3">
      <c r="B6" s="9" t="s">
        <v>296</v>
      </c>
      <c r="C6" s="8">
        <f>COUNTIF(Raw_Data!K3:K51,"&lt;&gt;""")</f>
        <v>49</v>
      </c>
      <c r="D6" s="9"/>
    </row>
    <row r="7" spans="1:9" ht="21.75" customHeight="1" x14ac:dyDescent="0.3">
      <c r="B7" s="6" t="s">
        <v>297</v>
      </c>
      <c r="C7" s="8">
        <f>COUNTIF(Table1[Interview_Status],"Selected")</f>
        <v>27</v>
      </c>
      <c r="D7" s="6"/>
    </row>
    <row r="8" spans="1:9" ht="21.75" customHeight="1" x14ac:dyDescent="0.3">
      <c r="B8" s="9" t="s">
        <v>298</v>
      </c>
      <c r="C8" s="8">
        <f>COUNTIF(Table1[Offer_Status],"Accepted")</f>
        <v>27</v>
      </c>
      <c r="D8" s="9"/>
    </row>
    <row r="9" spans="1:9" ht="21.75" customHeight="1" x14ac:dyDescent="0.3">
      <c r="B9" s="6" t="s">
        <v>292</v>
      </c>
      <c r="C9" s="8">
        <f>COUNTIF(Table1[Joining_Status],"Joined")</f>
        <v>27</v>
      </c>
      <c r="D9" s="6"/>
    </row>
    <row r="10" spans="1:9" ht="21.75" customHeight="1" x14ac:dyDescent="0.3">
      <c r="B10" s="9" t="s">
        <v>299</v>
      </c>
      <c r="C10" s="8">
        <f>COUNTIF(Table1[Joining_Status],"Joined")/COUNTA(Table1[Req_ID])</f>
        <v>0.54</v>
      </c>
      <c r="D10" s="9" t="s">
        <v>300</v>
      </c>
    </row>
    <row r="11" spans="1:9" ht="21.75" customHeight="1" x14ac:dyDescent="0.3">
      <c r="B11" s="6" t="s">
        <v>301</v>
      </c>
      <c r="C11" s="8">
        <f>ROUND(AVERAGEIF(Table1[Joining_Status],"Joined",Table1[TAT_Days]),2)</f>
        <v>18.59</v>
      </c>
      <c r="D11" s="6" t="s">
        <v>302</v>
      </c>
    </row>
    <row r="12" spans="1:9" ht="21.75" customHeight="1" x14ac:dyDescent="0.3">
      <c r="B12" s="9" t="s">
        <v>303</v>
      </c>
      <c r="C12" s="8">
        <f>AVERAGEIF(Table1[Offer_Status],"Accepted",Table1[Offered_CTC_LPA])</f>
        <v>8.6481481481481488</v>
      </c>
      <c r="D12" s="9" t="s">
        <v>304</v>
      </c>
    </row>
    <row r="15" spans="1:9" ht="21.75" customHeight="1" x14ac:dyDescent="0.3">
      <c r="B15" s="43" t="s">
        <v>305</v>
      </c>
      <c r="C15" s="43"/>
      <c r="D15" s="43"/>
      <c r="E15" s="43"/>
      <c r="F15" s="43"/>
      <c r="G15" s="43"/>
      <c r="H15" s="43"/>
      <c r="I15" s="43"/>
    </row>
    <row r="16" spans="1:9" ht="21.75" customHeight="1" x14ac:dyDescent="0.3">
      <c r="B16" s="7" t="s">
        <v>306</v>
      </c>
      <c r="C16" s="7" t="s">
        <v>307</v>
      </c>
      <c r="D16" s="7" t="s">
        <v>308</v>
      </c>
      <c r="E16" s="7" t="s">
        <v>309</v>
      </c>
      <c r="F16" s="7" t="s">
        <v>310</v>
      </c>
    </row>
    <row r="17" spans="2:9" ht="21.75" customHeight="1" x14ac:dyDescent="0.3">
      <c r="B17" s="10" t="s">
        <v>30</v>
      </c>
      <c r="C17" s="11">
        <f>COUNTIF(Table1[Recruiter_Name],B17)</f>
        <v>16</v>
      </c>
      <c r="D17" s="11">
        <f>COUNTIFS(Table1[Recruiter_Name],Summary_Metrics!B17,Table1[Joining_Status],"Joined")</f>
        <v>8</v>
      </c>
      <c r="E17" s="11" t="str">
        <f>D17/COUNTA(Raw_Data!$A$2:$A$51) * 100 &amp; " %"</f>
        <v>16 %</v>
      </c>
      <c r="F17" s="11">
        <f>ROUND(AVERAGEIFS(Table1[TAT_Days],Table1[Recruiter_Name],Summary_Metrics!B17,Table1[TAT_Days],"&gt;0"),2)</f>
        <v>17.5</v>
      </c>
    </row>
    <row r="18" spans="2:9" ht="21.75" customHeight="1" x14ac:dyDescent="0.3">
      <c r="B18" s="10" t="s">
        <v>47</v>
      </c>
      <c r="C18" s="11">
        <f>COUNTIF(Table1[Recruiter_Name],B18)</f>
        <v>13</v>
      </c>
      <c r="D18" s="11">
        <f>COUNTIFS(Table1[Recruiter_Name],Summary_Metrics!B18,Table1[Joining_Status],"Joined")</f>
        <v>5</v>
      </c>
      <c r="E18" s="11" t="str">
        <f>D18/COUNTA(Raw_Data!$A$2:$A$51) * 100 &amp; " %"</f>
        <v>10 %</v>
      </c>
      <c r="F18" s="11">
        <f>ROUND(AVERAGEIFS(Table1[TAT_Days],Table1[Recruiter_Name],Summary_Metrics!B18,Table1[TAT_Days],"&gt;0"),2)</f>
        <v>18.8</v>
      </c>
    </row>
    <row r="19" spans="2:9" ht="21.75" customHeight="1" x14ac:dyDescent="0.3">
      <c r="B19" s="10" t="s">
        <v>72</v>
      </c>
      <c r="C19" s="11">
        <f>COUNTIF(Table1[Recruiter_Name],B19)</f>
        <v>9</v>
      </c>
      <c r="D19" s="11">
        <f>COUNTIFS(Table1[Recruiter_Name],Summary_Metrics!B19,Table1[Joining_Status],"Joined")</f>
        <v>6</v>
      </c>
      <c r="E19" s="11" t="str">
        <f>D19/COUNTA(Raw_Data!$A$2:$A$51) * 100 &amp; " %"</f>
        <v>12 %</v>
      </c>
      <c r="F19" s="11">
        <f>ROUND(AVERAGEIFS(Table1[TAT_Days],Table1[Recruiter_Name],Summary_Metrics!B19,Table1[TAT_Days],"&gt;0"),2)</f>
        <v>19.329999999999998</v>
      </c>
    </row>
    <row r="20" spans="2:9" ht="21.75" customHeight="1" x14ac:dyDescent="0.3">
      <c r="B20" s="10" t="s">
        <v>86</v>
      </c>
      <c r="C20" s="11">
        <f>COUNTIF(Table1[Recruiter_Name],B20)</f>
        <v>12</v>
      </c>
      <c r="D20" s="11">
        <f>COUNTIFS(Table1[Recruiter_Name],Summary_Metrics!B20,Table1[Joining_Status],"Joined")</f>
        <v>8</v>
      </c>
      <c r="E20" s="11" t="str">
        <f>D20/COUNTA(Raw_Data!$A$2:$A$51) * 100 &amp; " %"</f>
        <v>16 %</v>
      </c>
      <c r="F20" s="11">
        <f>ROUND(AVERAGEIFS(Table1[TAT_Days],Table1[Recruiter_Name],Summary_Metrics!B20,Table1[TAT_Days],"&gt;0"),2)</f>
        <v>19</v>
      </c>
    </row>
    <row r="22" spans="2:9" ht="21.75" customHeight="1" x14ac:dyDescent="0.3">
      <c r="B22" s="45" t="s">
        <v>311</v>
      </c>
      <c r="C22" s="45"/>
      <c r="D22" s="45"/>
      <c r="E22" s="45"/>
      <c r="F22" s="45"/>
      <c r="G22" s="45"/>
      <c r="H22" s="45"/>
      <c r="I22" s="45"/>
    </row>
    <row r="23" spans="2:9" ht="21.75" customHeight="1" x14ac:dyDescent="0.3">
      <c r="B23" s="7" t="s">
        <v>312</v>
      </c>
      <c r="C23" s="7" t="s">
        <v>313</v>
      </c>
      <c r="D23" s="7" t="s">
        <v>43</v>
      </c>
      <c r="E23" s="7" t="s">
        <v>309</v>
      </c>
    </row>
    <row r="24" spans="2:9" ht="21.75" customHeight="1" x14ac:dyDescent="0.3">
      <c r="B24" s="10" t="s">
        <v>32</v>
      </c>
      <c r="C24" s="11">
        <f>COUNTIF(Table1[Sourcing_Channel],Summary_Metrics!B24)</f>
        <v>24</v>
      </c>
      <c r="D24" s="11">
        <f>COUNTIFS(Table1[Sourcing_Channel],Summary_Metrics!B24,Table1[Joining_Status],"Joined")</f>
        <v>18</v>
      </c>
      <c r="E24" s="11" t="str">
        <f>D24/C24*100&amp;"%"</f>
        <v>75%</v>
      </c>
    </row>
    <row r="25" spans="2:9" ht="21.75" customHeight="1" x14ac:dyDescent="0.3">
      <c r="B25" s="10" t="s">
        <v>48</v>
      </c>
      <c r="C25" s="11">
        <f>COUNTIF(Table1[Sourcing_Channel],Summary_Metrics!B25)</f>
        <v>12</v>
      </c>
      <c r="D25" s="11">
        <f>COUNTIFS(Table1[Sourcing_Channel],Summary_Metrics!B25,Table1[Joining_Status],"Joined")</f>
        <v>2</v>
      </c>
      <c r="E25" s="11" t="str">
        <f t="shared" ref="E25:E27" si="0">D25/C25*100&amp;"%"</f>
        <v>16.6666666666667%</v>
      </c>
    </row>
    <row r="26" spans="2:9" ht="21.75" customHeight="1" x14ac:dyDescent="0.3">
      <c r="B26" s="10" t="s">
        <v>62</v>
      </c>
      <c r="C26" s="11">
        <f>COUNTIF(Table1[Sourcing_Channel],Summary_Metrics!B26)</f>
        <v>7</v>
      </c>
      <c r="D26" s="11">
        <f>COUNTIFS(Table1[Sourcing_Channel],Summary_Metrics!B26,Table1[Joining_Status],"Joined")</f>
        <v>4</v>
      </c>
      <c r="E26" s="11" t="str">
        <f t="shared" si="0"/>
        <v>57.1428571428571%</v>
      </c>
    </row>
    <row r="27" spans="2:9" ht="21.75" customHeight="1" x14ac:dyDescent="0.3">
      <c r="B27" s="10" t="s">
        <v>95</v>
      </c>
      <c r="C27" s="11">
        <f>COUNTIF(Table1[Sourcing_Channel],Summary_Metrics!B27)</f>
        <v>7</v>
      </c>
      <c r="D27" s="11">
        <f>COUNTIFS(Table1[Sourcing_Channel],Summary_Metrics!B27,Table1[Joining_Status],"Joined")</f>
        <v>3</v>
      </c>
      <c r="E27" s="11" t="str">
        <f t="shared" si="0"/>
        <v>42.8571428571429%</v>
      </c>
    </row>
    <row r="29" spans="2:9" ht="21.75" customHeight="1" x14ac:dyDescent="0.3">
      <c r="B29" s="46" t="s">
        <v>314</v>
      </c>
      <c r="C29" s="46"/>
      <c r="D29" s="46"/>
      <c r="E29" s="46"/>
      <c r="F29" s="46"/>
      <c r="G29" s="46"/>
      <c r="H29" s="46"/>
      <c r="I29" s="46"/>
    </row>
    <row r="30" spans="2:9" ht="21.75" customHeight="1" x14ac:dyDescent="0.3">
      <c r="B30" s="7" t="s">
        <v>315</v>
      </c>
      <c r="C30" s="7" t="s">
        <v>313</v>
      </c>
      <c r="D30" s="7" t="s">
        <v>43</v>
      </c>
    </row>
    <row r="31" spans="2:9" ht="21.75" customHeight="1" x14ac:dyDescent="0.3">
      <c r="B31" s="10" t="s">
        <v>316</v>
      </c>
      <c r="C31" s="11">
        <f>COUNTIF(Table1[sourced_month],Summary_Metrics!B31)</f>
        <v>10</v>
      </c>
      <c r="D31" s="11">
        <f>COUNTIF(Table1[Joined_month],Summary_Metrics!B31)</f>
        <v>2</v>
      </c>
    </row>
    <row r="32" spans="2:9" ht="21.75" customHeight="1" x14ac:dyDescent="0.3">
      <c r="B32" s="10" t="s">
        <v>317</v>
      </c>
      <c r="C32" s="11">
        <f>COUNTIF(Table1[sourced_month],"Jan 2025")</f>
        <v>10</v>
      </c>
      <c r="D32" s="11">
        <f>COUNTIF(Table1[Joined_month],Summary_Metrics!B32)</f>
        <v>5</v>
      </c>
    </row>
    <row r="33" spans="2:9" ht="21.75" customHeight="1" x14ac:dyDescent="0.3">
      <c r="B33" s="10" t="s">
        <v>318</v>
      </c>
      <c r="C33" s="11">
        <f>COUNTIF(Table1[sourced_month],"Jan 2025")</f>
        <v>10</v>
      </c>
      <c r="D33" s="11">
        <f>COUNTIF(Table1[Joined_month],Summary_Metrics!B33)</f>
        <v>5</v>
      </c>
    </row>
    <row r="34" spans="2:9" ht="21.75" customHeight="1" x14ac:dyDescent="0.3">
      <c r="B34" s="10" t="s">
        <v>319</v>
      </c>
      <c r="C34" s="11">
        <f>COUNTIF(Table1[sourced_month],"Jan 2025")</f>
        <v>10</v>
      </c>
      <c r="D34" s="11">
        <f>COUNTIF(Table1[Joined_month],Summary_Metrics!B34)</f>
        <v>6</v>
      </c>
    </row>
    <row r="35" spans="2:9" ht="21.75" customHeight="1" x14ac:dyDescent="0.3">
      <c r="B35" s="10" t="s">
        <v>320</v>
      </c>
      <c r="C35" s="11">
        <f>COUNTIF(Table1[sourced_month],"Jan 2025")</f>
        <v>10</v>
      </c>
      <c r="D35" s="11">
        <f>COUNTIF(Table1[Joined_month],Summary_Metrics!B35)</f>
        <v>6</v>
      </c>
    </row>
    <row r="36" spans="2:9" ht="21.75" customHeight="1" x14ac:dyDescent="0.3">
      <c r="B36" s="10" t="s">
        <v>321</v>
      </c>
      <c r="C36" s="11">
        <f>COUNTIF(Table1[sourced_month],"Jan 2025")</f>
        <v>10</v>
      </c>
      <c r="D36" s="11">
        <f>COUNTIF(Table1[Joined_month],Summary_Metrics!B36)</f>
        <v>3</v>
      </c>
    </row>
    <row r="38" spans="2:9" ht="21.75" customHeight="1" x14ac:dyDescent="0.3">
      <c r="B38" s="44" t="s">
        <v>322</v>
      </c>
      <c r="C38" s="44"/>
      <c r="D38" s="44"/>
      <c r="E38" s="44"/>
      <c r="F38" s="44"/>
      <c r="G38" s="44"/>
      <c r="H38" s="44"/>
      <c r="I38" s="44"/>
    </row>
    <row r="39" spans="2:9" ht="36.6" customHeight="1" x14ac:dyDescent="0.3">
      <c r="B39" s="7" t="s">
        <v>3</v>
      </c>
      <c r="C39" s="7" t="s">
        <v>323</v>
      </c>
      <c r="D39" s="7" t="s">
        <v>303</v>
      </c>
      <c r="E39" s="7" t="s">
        <v>324</v>
      </c>
    </row>
    <row r="40" spans="2:9" ht="18" customHeight="1" x14ac:dyDescent="0.3">
      <c r="B40" s="10" t="s">
        <v>28</v>
      </c>
      <c r="C40" s="11">
        <f>ROUND(AVERAGEIF(Table1[Role],Summary_Metrics!B40,Table1[Expected_CTC_LPA]),2)</f>
        <v>6.75</v>
      </c>
      <c r="D40" s="11">
        <f>ROUND(IFERROR(AVERAGEIFS(Table1[Offered_CTC_LPA],Table1[Role],Summary_Metrics!B40,Table1[Offer_Status],"Accepted"),C40),2)</f>
        <v>6.96</v>
      </c>
      <c r="E40" s="11">
        <f>C40-D40</f>
        <v>-0.20999999999999996</v>
      </c>
    </row>
    <row r="41" spans="2:9" ht="21.75" customHeight="1" x14ac:dyDescent="0.3">
      <c r="B41" s="10" t="s">
        <v>46</v>
      </c>
      <c r="C41" s="11">
        <f>ROUND(AVERAGEIF(Table1[Role],Summary_Metrics!B41,Table1[Expected_CTC_LPA]),2)</f>
        <v>4.68</v>
      </c>
      <c r="D41" s="11">
        <f>ROUND(IFERROR(AVERAGEIFS(Table1[Offered_CTC_LPA],Table1[Role],Summary_Metrics!B41,Table1[Offer_Status],"Accepted"),C41),2)</f>
        <v>4.5</v>
      </c>
      <c r="E41" s="11">
        <f t="shared" ref="E41:E45" si="1">C41-D41</f>
        <v>0.17999999999999972</v>
      </c>
    </row>
    <row r="42" spans="2:9" ht="21.75" customHeight="1" x14ac:dyDescent="0.3">
      <c r="B42" s="10" t="s">
        <v>60</v>
      </c>
      <c r="C42" s="11">
        <f>ROUND(AVERAGEIF(Table1[Role],Summary_Metrics!B42,Table1[Expected_CTC_LPA]),2)</f>
        <v>8.07</v>
      </c>
      <c r="D42" s="11">
        <f>ROUND(IFERROR(AVERAGEIFS(Table1[Offered_CTC_LPA],Table1[Role],Summary_Metrics!B42,Table1[Offer_Status],"Accepted"),C42),2)</f>
        <v>8.1300000000000008</v>
      </c>
      <c r="E42" s="11">
        <f t="shared" si="1"/>
        <v>-6.0000000000000497E-2</v>
      </c>
    </row>
    <row r="43" spans="2:9" ht="21.75" customHeight="1" x14ac:dyDescent="0.3">
      <c r="B43" s="10" t="s">
        <v>70</v>
      </c>
      <c r="C43" s="11">
        <f>ROUND(AVERAGEIF(Table1[Role],Summary_Metrics!B43,Table1[Expected_CTC_LPA]),2)</f>
        <v>14.14</v>
      </c>
      <c r="D43" s="11">
        <f>ROUND(IFERROR(AVERAGEIFS(Table1[Offered_CTC_LPA],Table1[Role],Summary_Metrics!B43,Table1[Offer_Status],"Accepted"),C43),2)</f>
        <v>13.75</v>
      </c>
      <c r="E43" s="11">
        <f t="shared" si="1"/>
        <v>0.39000000000000057</v>
      </c>
    </row>
    <row r="44" spans="2:9" ht="21.75" customHeight="1" x14ac:dyDescent="0.3">
      <c r="B44" s="10" t="s">
        <v>100</v>
      </c>
      <c r="C44" s="11">
        <f>ROUND(AVERAGEIF(Table1[Role],Summary_Metrics!B44,Table1[Expected_CTC_LPA]),2)</f>
        <v>16</v>
      </c>
      <c r="D44" s="11">
        <f>ROUND(IFERROR(AVERAGEIFS(Table1[Offered_CTC_LPA],Table1[Role],Summary_Metrics!B44,Table1[Offer_Status],"Accepted"),C44),2)</f>
        <v>16</v>
      </c>
      <c r="E44" s="11">
        <f t="shared" si="1"/>
        <v>0</v>
      </c>
    </row>
    <row r="45" spans="2:9" ht="21.75" customHeight="1" x14ac:dyDescent="0.3">
      <c r="B45" s="10" t="s">
        <v>94</v>
      </c>
      <c r="C45" s="11">
        <f>ROUND(AVERAGEIF(Table1[Role],Summary_Metrics!B45,Table1[Expected_CTC_LPA]),2)</f>
        <v>4</v>
      </c>
      <c r="D45" s="11">
        <f>ROUND(IFERROR(AVERAGEIFS(Table1[Offered_CTC_LPA],Table1[Role],Summary_Metrics!B45,Table1[Offer_Status],"Accepted"),C45),2)</f>
        <v>4</v>
      </c>
      <c r="E45" s="11">
        <f t="shared" si="1"/>
        <v>0</v>
      </c>
    </row>
  </sheetData>
  <mergeCells count="6">
    <mergeCell ref="B38:I38"/>
    <mergeCell ref="A1:I1"/>
    <mergeCell ref="B3:I3"/>
    <mergeCell ref="B15:I15"/>
    <mergeCell ref="B22:I22"/>
    <mergeCell ref="B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N40"/>
  <sheetViews>
    <sheetView zoomScaleNormal="100" workbookViewId="0">
      <selection activeCell="M4" sqref="M4"/>
    </sheetView>
  </sheetViews>
  <sheetFormatPr defaultColWidth="8.6640625" defaultRowHeight="14.4" x14ac:dyDescent="0.3"/>
  <cols>
    <col min="1" max="1" width="2" customWidth="1"/>
    <col min="2" max="12" width="14" customWidth="1"/>
    <col min="13" max="13" width="16.5546875" customWidth="1"/>
    <col min="14" max="14" width="2" hidden="1" customWidth="1"/>
  </cols>
  <sheetData>
    <row r="1" spans="1:14" ht="43.5" customHeight="1" x14ac:dyDescent="0.3">
      <c r="A1" s="36" t="s">
        <v>325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4" ht="25.5" customHeight="1" x14ac:dyDescent="0.3">
      <c r="B3" s="37" t="s">
        <v>307</v>
      </c>
      <c r="C3" s="37"/>
      <c r="D3" s="38" t="s">
        <v>326</v>
      </c>
      <c r="E3" s="38"/>
      <c r="F3" s="39" t="s">
        <v>309</v>
      </c>
      <c r="G3" s="39"/>
      <c r="H3" s="40" t="s">
        <v>327</v>
      </c>
      <c r="I3" s="40"/>
      <c r="J3" s="41" t="s">
        <v>303</v>
      </c>
      <c r="K3" s="41"/>
    </row>
    <row r="4" spans="1:14" ht="43.5" customHeight="1" x14ac:dyDescent="0.3">
      <c r="B4" s="35">
        <f>Summary_Metrics!C5</f>
        <v>50</v>
      </c>
      <c r="C4" s="35"/>
      <c r="D4" s="35">
        <f>Summary_Metrics!C9</f>
        <v>27</v>
      </c>
      <c r="E4" s="35"/>
      <c r="F4" s="35">
        <f>Summary_Metrics!C10</f>
        <v>0.54</v>
      </c>
      <c r="G4" s="35"/>
      <c r="H4" s="35">
        <f>Summary_Metrics!C11</f>
        <v>18.59</v>
      </c>
      <c r="I4" s="35"/>
      <c r="J4" s="35">
        <f>Summary_Metrics!C12</f>
        <v>8.6481481481481488</v>
      </c>
      <c r="K4" s="35"/>
    </row>
    <row r="6" spans="1:14" ht="19.5" customHeight="1" x14ac:dyDescent="0.3">
      <c r="B6" s="30" t="s">
        <v>328</v>
      </c>
      <c r="C6" s="30"/>
      <c r="D6" s="30"/>
      <c r="E6" s="30"/>
      <c r="F6" s="30"/>
      <c r="G6" s="30"/>
      <c r="H6" s="31" t="s">
        <v>329</v>
      </c>
      <c r="I6" s="31"/>
      <c r="J6" s="31"/>
      <c r="K6" s="31"/>
      <c r="L6" s="31"/>
      <c r="M6" s="31"/>
    </row>
    <row r="7" spans="1:14" ht="19.5" customHeight="1" x14ac:dyDescent="0.3">
      <c r="B7" s="30"/>
      <c r="C7" s="30"/>
      <c r="D7" s="30"/>
      <c r="E7" s="30"/>
      <c r="F7" s="30"/>
      <c r="G7" s="30"/>
      <c r="H7" s="31"/>
      <c r="I7" s="31"/>
      <c r="J7" s="31"/>
      <c r="K7" s="31"/>
      <c r="L7" s="31"/>
      <c r="M7" s="31"/>
    </row>
    <row r="8" spans="1:14" ht="19.5" customHeight="1" x14ac:dyDescent="0.3">
      <c r="B8" s="30"/>
      <c r="C8" s="30"/>
      <c r="D8" s="30"/>
      <c r="E8" s="30"/>
      <c r="F8" s="30"/>
      <c r="G8" s="30"/>
      <c r="H8" s="31"/>
      <c r="I8" s="31"/>
      <c r="J8" s="31"/>
      <c r="K8" s="31"/>
      <c r="L8" s="31"/>
      <c r="M8" s="31"/>
    </row>
    <row r="9" spans="1:14" ht="19.5" customHeight="1" x14ac:dyDescent="0.3">
      <c r="B9" s="30"/>
      <c r="C9" s="30"/>
      <c r="D9" s="30"/>
      <c r="E9" s="30"/>
      <c r="F9" s="30"/>
      <c r="G9" s="30"/>
      <c r="H9" s="31"/>
      <c r="I9" s="31"/>
      <c r="J9" s="31"/>
      <c r="K9" s="31"/>
      <c r="L9" s="31"/>
      <c r="M9" s="31"/>
    </row>
    <row r="10" spans="1:14" ht="19.5" customHeight="1" x14ac:dyDescent="0.3">
      <c r="B10" s="30"/>
      <c r="C10" s="30"/>
      <c r="D10" s="30"/>
      <c r="E10" s="30"/>
      <c r="F10" s="30"/>
      <c r="G10" s="30"/>
      <c r="H10" s="31"/>
      <c r="I10" s="31"/>
      <c r="J10" s="31"/>
      <c r="K10" s="31"/>
      <c r="L10" s="31"/>
      <c r="M10" s="31"/>
    </row>
    <row r="11" spans="1:14" ht="19.5" customHeight="1" x14ac:dyDescent="0.3">
      <c r="B11" s="30"/>
      <c r="C11" s="30"/>
      <c r="D11" s="30"/>
      <c r="E11" s="30"/>
      <c r="F11" s="30"/>
      <c r="G11" s="30"/>
      <c r="H11" s="31"/>
      <c r="I11" s="31"/>
      <c r="J11" s="31"/>
      <c r="K11" s="31"/>
      <c r="L11" s="31"/>
      <c r="M11" s="31"/>
    </row>
    <row r="12" spans="1:14" ht="19.5" customHeight="1" x14ac:dyDescent="0.3">
      <c r="B12" s="30"/>
      <c r="C12" s="30"/>
      <c r="D12" s="30"/>
      <c r="E12" s="30"/>
      <c r="F12" s="30"/>
      <c r="G12" s="30"/>
      <c r="H12" s="31"/>
      <c r="I12" s="31"/>
      <c r="J12" s="31"/>
      <c r="K12" s="31"/>
      <c r="L12" s="31"/>
      <c r="M12" s="31"/>
    </row>
    <row r="13" spans="1:14" ht="19.5" customHeight="1" x14ac:dyDescent="0.3">
      <c r="B13" s="30"/>
      <c r="C13" s="30"/>
      <c r="D13" s="30"/>
      <c r="E13" s="30"/>
      <c r="F13" s="30"/>
      <c r="G13" s="30"/>
      <c r="H13" s="31"/>
      <c r="I13" s="31"/>
      <c r="J13" s="31"/>
      <c r="K13" s="31"/>
      <c r="L13" s="31"/>
      <c r="M13" s="31"/>
    </row>
    <row r="14" spans="1:14" ht="19.5" customHeight="1" x14ac:dyDescent="0.3">
      <c r="B14" s="30"/>
      <c r="C14" s="30"/>
      <c r="D14" s="30"/>
      <c r="E14" s="30"/>
      <c r="F14" s="30"/>
      <c r="G14" s="30"/>
      <c r="H14" s="31"/>
      <c r="I14" s="31"/>
      <c r="J14" s="31"/>
      <c r="K14" s="31"/>
      <c r="L14" s="31"/>
      <c r="M14" s="31"/>
    </row>
    <row r="15" spans="1:14" ht="19.5" customHeight="1" x14ac:dyDescent="0.3">
      <c r="B15" s="30"/>
      <c r="C15" s="30"/>
      <c r="D15" s="30"/>
      <c r="E15" s="30"/>
      <c r="F15" s="30"/>
      <c r="G15" s="30"/>
      <c r="H15" s="31"/>
      <c r="I15" s="31"/>
      <c r="J15" s="31"/>
      <c r="K15" s="31"/>
      <c r="L15" s="31"/>
      <c r="M15" s="31"/>
    </row>
    <row r="16" spans="1:14" ht="19.5" customHeight="1" x14ac:dyDescent="0.3">
      <c r="B16" s="30"/>
      <c r="C16" s="30"/>
      <c r="D16" s="30"/>
      <c r="E16" s="30"/>
      <c r="F16" s="30"/>
      <c r="G16" s="30"/>
      <c r="H16" s="31"/>
      <c r="I16" s="31"/>
      <c r="J16" s="31"/>
      <c r="K16" s="31"/>
      <c r="L16" s="31"/>
      <c r="M16" s="31"/>
    </row>
    <row r="18" spans="2:13" ht="19.5" customHeight="1" x14ac:dyDescent="0.3">
      <c r="B18" s="32" t="s">
        <v>330</v>
      </c>
      <c r="C18" s="32"/>
      <c r="D18" s="32"/>
      <c r="E18" s="32"/>
      <c r="F18" s="32"/>
      <c r="G18" s="32"/>
      <c r="H18" s="33" t="s">
        <v>331</v>
      </c>
      <c r="I18" s="33"/>
      <c r="J18" s="33"/>
      <c r="K18" s="33"/>
      <c r="L18" s="33"/>
      <c r="M18" s="33"/>
    </row>
    <row r="19" spans="2:13" ht="19.5" customHeight="1" x14ac:dyDescent="0.3">
      <c r="B19" s="32"/>
      <c r="C19" s="32"/>
      <c r="D19" s="32"/>
      <c r="E19" s="32"/>
      <c r="F19" s="32"/>
      <c r="G19" s="32"/>
      <c r="H19" s="33"/>
      <c r="I19" s="33"/>
      <c r="J19" s="33"/>
      <c r="K19" s="33"/>
      <c r="L19" s="33"/>
      <c r="M19" s="33"/>
    </row>
    <row r="20" spans="2:13" ht="19.5" customHeight="1" x14ac:dyDescent="0.3">
      <c r="B20" s="32"/>
      <c r="C20" s="32"/>
      <c r="D20" s="32"/>
      <c r="E20" s="32"/>
      <c r="F20" s="32"/>
      <c r="G20" s="32"/>
      <c r="H20" s="33"/>
      <c r="I20" s="33"/>
      <c r="J20" s="33"/>
      <c r="K20" s="33"/>
      <c r="L20" s="33"/>
      <c r="M20" s="33"/>
    </row>
    <row r="21" spans="2:13" ht="19.5" customHeight="1" x14ac:dyDescent="0.3">
      <c r="B21" s="32"/>
      <c r="C21" s="32"/>
      <c r="D21" s="32"/>
      <c r="E21" s="32"/>
      <c r="F21" s="32"/>
      <c r="G21" s="32"/>
      <c r="H21" s="33"/>
      <c r="I21" s="33"/>
      <c r="J21" s="33"/>
      <c r="K21" s="33"/>
      <c r="L21" s="33"/>
      <c r="M21" s="33"/>
    </row>
    <row r="22" spans="2:13" ht="19.5" customHeight="1" x14ac:dyDescent="0.3">
      <c r="B22" s="32"/>
      <c r="C22" s="32"/>
      <c r="D22" s="32"/>
      <c r="E22" s="32"/>
      <c r="F22" s="32"/>
      <c r="G22" s="32"/>
      <c r="H22" s="33"/>
      <c r="I22" s="33"/>
      <c r="J22" s="33"/>
      <c r="K22" s="33"/>
      <c r="L22" s="33"/>
      <c r="M22" s="33"/>
    </row>
    <row r="23" spans="2:13" ht="19.5" customHeight="1" x14ac:dyDescent="0.3">
      <c r="B23" s="32"/>
      <c r="C23" s="32"/>
      <c r="D23" s="32"/>
      <c r="E23" s="32"/>
      <c r="F23" s="32"/>
      <c r="G23" s="32"/>
      <c r="H23" s="33"/>
      <c r="I23" s="33"/>
      <c r="J23" s="33"/>
      <c r="K23" s="33"/>
      <c r="L23" s="33"/>
      <c r="M23" s="33"/>
    </row>
    <row r="24" spans="2:13" ht="19.5" customHeight="1" x14ac:dyDescent="0.3">
      <c r="B24" s="32"/>
      <c r="C24" s="32"/>
      <c r="D24" s="32"/>
      <c r="E24" s="32"/>
      <c r="F24" s="32"/>
      <c r="G24" s="32"/>
      <c r="H24" s="33"/>
      <c r="I24" s="33"/>
      <c r="J24" s="33"/>
      <c r="K24" s="33"/>
      <c r="L24" s="33"/>
      <c r="M24" s="33"/>
    </row>
    <row r="25" spans="2:13" ht="19.5" customHeight="1" x14ac:dyDescent="0.3">
      <c r="B25" s="32"/>
      <c r="C25" s="32"/>
      <c r="D25" s="32"/>
      <c r="E25" s="32"/>
      <c r="F25" s="32"/>
      <c r="G25" s="32"/>
      <c r="H25" s="33"/>
      <c r="I25" s="33"/>
      <c r="J25" s="33"/>
      <c r="K25" s="33"/>
      <c r="L25" s="33"/>
      <c r="M25" s="33"/>
    </row>
    <row r="26" spans="2:13" ht="19.5" customHeight="1" x14ac:dyDescent="0.3">
      <c r="B26" s="32"/>
      <c r="C26" s="32"/>
      <c r="D26" s="32"/>
      <c r="E26" s="32"/>
      <c r="F26" s="32"/>
      <c r="G26" s="32"/>
      <c r="H26" s="33"/>
      <c r="I26" s="33"/>
      <c r="J26" s="33"/>
      <c r="K26" s="33"/>
      <c r="L26" s="33"/>
      <c r="M26" s="33"/>
    </row>
    <row r="27" spans="2:13" ht="19.5" customHeight="1" x14ac:dyDescent="0.3">
      <c r="B27" s="32"/>
      <c r="C27" s="32"/>
      <c r="D27" s="32"/>
      <c r="E27" s="32"/>
      <c r="F27" s="32"/>
      <c r="G27" s="32"/>
      <c r="H27" s="33"/>
      <c r="I27" s="33"/>
      <c r="J27" s="33"/>
      <c r="K27" s="33"/>
      <c r="L27" s="33"/>
      <c r="M27" s="33"/>
    </row>
    <row r="28" spans="2:13" ht="19.5" customHeight="1" x14ac:dyDescent="0.3">
      <c r="B28" s="32"/>
      <c r="C28" s="32"/>
      <c r="D28" s="32"/>
      <c r="E28" s="32"/>
      <c r="F28" s="32"/>
      <c r="G28" s="32"/>
      <c r="H28" s="33"/>
      <c r="I28" s="33"/>
      <c r="J28" s="33"/>
      <c r="K28" s="33"/>
      <c r="L28" s="33"/>
      <c r="M28" s="33"/>
    </row>
    <row r="30" spans="2:13" ht="19.5" customHeight="1" x14ac:dyDescent="0.3">
      <c r="B30" s="34" t="s">
        <v>332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</row>
    <row r="31" spans="2:13" ht="19.5" customHeight="1" x14ac:dyDescent="0.3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2:13" ht="19.5" customHeight="1" x14ac:dyDescent="0.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spans="2:13" ht="19.5" customHeight="1" x14ac:dyDescent="0.3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2:13" ht="19.5" customHeight="1" x14ac:dyDescent="0.3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</row>
    <row r="35" spans="2:13" ht="19.5" customHeight="1" x14ac:dyDescent="0.3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2:13" ht="19.5" customHeight="1" x14ac:dyDescent="0.3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spans="2:13" ht="19.5" customHeight="1" x14ac:dyDescent="0.3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2:13" ht="19.5" customHeight="1" x14ac:dyDescent="0.3"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</row>
    <row r="39" spans="2:13" ht="19.5" customHeight="1" x14ac:dyDescent="0.3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2:13" ht="19.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</row>
  </sheetData>
  <mergeCells count="16">
    <mergeCell ref="A1:N1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6:G16"/>
    <mergeCell ref="H6:M16"/>
    <mergeCell ref="B18:G28"/>
    <mergeCell ref="H18:M28"/>
    <mergeCell ref="B30:M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Summary_Metrics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 kannan</cp:lastModifiedBy>
  <cp:revision>0</cp:revision>
  <dcterms:created xsi:type="dcterms:W3CDTF">2026-03-23T16:09:19Z</dcterms:created>
  <dcterms:modified xsi:type="dcterms:W3CDTF">2026-03-23T19:53:20Z</dcterms:modified>
  <dc:language>en-US</dc:language>
</cp:coreProperties>
</file>